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ves-marie.heno\Documents\Prog_R\SondesThermiques\Data\"/>
    </mc:Choice>
  </mc:AlternateContent>
  <xr:revisionPtr revIDLastSave="0" documentId="8_{609EC4DD-D074-4B60-A4CF-3025AF93174A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Programme HC 2026" sheetId="4" r:id="rId1"/>
    <sheet name="prépa prog stations" sheetId="1" r:id="rId2"/>
    <sheet name="prepa prog marché gnrl" sheetId="2" r:id="rId3"/>
  </sheets>
  <definedNames>
    <definedName name="_xlnm._FilterDatabase" localSheetId="1" hidden="1">'prépa prog stations'!$A$7:$BB$182</definedName>
    <definedName name="_xlnm._FilterDatabase" localSheetId="0" hidden="1">'Programme HC 2026'!$A$2:$AD$60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P182" i="1" l="1"/>
  <c r="AQ182" i="1"/>
  <c r="AY182" i="1"/>
  <c r="AX182" i="1"/>
  <c r="AW182" i="1"/>
  <c r="AV182" i="1"/>
  <c r="AU182" i="1"/>
  <c r="AT182" i="1"/>
  <c r="AS182" i="1"/>
  <c r="AR182" i="1"/>
  <c r="AO182" i="1"/>
  <c r="AN182" i="1"/>
  <c r="AM182" i="1"/>
  <c r="AL182" i="1"/>
  <c r="AK182" i="1"/>
  <c r="AJ182" i="1"/>
  <c r="AI182" i="1"/>
  <c r="AH182" i="1"/>
  <c r="AD182" i="1"/>
  <c r="AC182" i="1"/>
  <c r="AB182" i="1"/>
  <c r="AA182" i="1"/>
  <c r="Z182" i="1"/>
  <c r="Y182" i="1"/>
  <c r="X182" i="1"/>
  <c r="W182" i="1"/>
  <c r="P182" i="1"/>
  <c r="O182" i="1"/>
  <c r="N182" i="1"/>
  <c r="M182" i="1"/>
  <c r="L182" i="1"/>
  <c r="P11" i="2"/>
  <c r="P10" i="2"/>
  <c r="BA18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QUINTINO-DOS-SANTOS Erell</author>
  </authors>
  <commentList>
    <comment ref="K3" authorId="0" shapeId="0" xr:uid="{7F81A43D-FC1A-416B-B46D-39BD54365116}">
      <text>
        <r>
          <rPr>
            <b/>
            <sz val="9"/>
            <color indexed="81"/>
            <rFont val="Tahoma"/>
            <family val="2"/>
          </rPr>
          <t>QUINTINO-DOS-SANTOS Erell:</t>
        </r>
        <r>
          <rPr>
            <sz val="9"/>
            <color indexed="81"/>
            <rFont val="Tahoma"/>
            <family val="2"/>
          </rPr>
          <t xml:space="preserve">
Arenseigner seulement pour le cas des RCS
Année paire
Année impaire</t>
        </r>
      </text>
    </comment>
    <comment ref="L3" authorId="0" shapeId="0" xr:uid="{3E0CC0D1-6660-40F3-9CCB-812E6E2F6A4D}">
      <text>
        <r>
          <rPr>
            <b/>
            <sz val="9"/>
            <color indexed="81"/>
            <rFont val="Tahoma"/>
            <family val="2"/>
          </rPr>
          <t xml:space="preserve">QUINTINO-DOS-SANTOS Erell:
</t>
        </r>
        <r>
          <rPr>
            <sz val="9"/>
            <color indexed="81"/>
            <rFont val="Tahoma"/>
            <family val="2"/>
          </rPr>
          <t>A renseigner pour tous les réseaux: RHP/RRP/RCS/RCO/Réseau Biote</t>
        </r>
        <r>
          <rPr>
            <sz val="9"/>
            <color indexed="81"/>
            <rFont val="Tahoma"/>
            <family val="2"/>
          </rPr>
          <t xml:space="preserve">
non : 0
oui : 1</t>
        </r>
      </text>
    </comment>
    <comment ref="R3" authorId="0" shapeId="0" xr:uid="{48202EB5-7FAC-4B21-8436-9B4DD6FFCEB7}">
      <text>
        <r>
          <rPr>
            <b/>
            <sz val="9"/>
            <color indexed="81"/>
            <rFont val="Tahoma"/>
            <family val="2"/>
          </rPr>
          <t>QUINTINO-DOS-SANTOS Erell:</t>
        </r>
        <r>
          <rPr>
            <sz val="9"/>
            <color indexed="81"/>
            <rFont val="Tahoma"/>
            <family val="2"/>
          </rPr>
          <t xml:space="preserve">
Renseigner la modalité de pêche actuelle:
Régie
Externe</t>
        </r>
      </text>
    </comment>
    <comment ref="T3" authorId="0" shapeId="0" xr:uid="{33F81B8D-B3E8-4985-A2A1-E9F1BD982230}">
      <text>
        <r>
          <rPr>
            <b/>
            <sz val="9"/>
            <color indexed="81"/>
            <rFont val="Tahoma"/>
            <family val="2"/>
          </rPr>
          <t>QUINTINO-DOS-SANTOS Erell:</t>
        </r>
        <r>
          <rPr>
            <sz val="9"/>
            <color indexed="81"/>
            <rFont val="Tahoma"/>
            <family val="2"/>
          </rPr>
          <t xml:space="preserve">
Renseigner le protocole utilisé:
Pêche complète
Pêche partielle</t>
        </r>
      </text>
    </comment>
    <comment ref="U3" authorId="0" shapeId="0" xr:uid="{938ED502-5932-4D00-BB8B-D4189DF56F7A}">
      <text>
        <r>
          <rPr>
            <b/>
            <sz val="9"/>
            <color indexed="81"/>
            <rFont val="Tahoma"/>
            <family val="2"/>
          </rPr>
          <t>QUINTINO-DOS-SANTOS Erell:</t>
        </r>
        <r>
          <rPr>
            <sz val="9"/>
            <color indexed="81"/>
            <rFont val="Tahoma"/>
            <family val="2"/>
          </rPr>
          <t xml:space="preserve">
Renseigner le moyen de prospection utilisé:
A pied 
A bâteau</t>
        </r>
      </text>
    </comment>
    <comment ref="W3" authorId="0" shapeId="0" xr:uid="{BA7E7FBB-FEEC-48A2-B88C-135EB8AFCC8F}">
      <text>
        <r>
          <rPr>
            <b/>
            <sz val="9"/>
            <color indexed="81"/>
            <rFont val="Tahoma"/>
            <family val="2"/>
          </rPr>
          <t>QUINTINO-DOS-SANTOS Erell:</t>
        </r>
        <r>
          <rPr>
            <sz val="9"/>
            <color indexed="81"/>
            <rFont val="Tahoma"/>
            <family val="2"/>
          </rPr>
          <t xml:space="preserve">
non : 0
oui : 1</t>
        </r>
      </text>
    </comment>
    <comment ref="Y3" authorId="0" shapeId="0" xr:uid="{E21E1C39-4ACF-449D-8B9E-74E435A32D78}">
      <text>
        <r>
          <rPr>
            <b/>
            <sz val="9"/>
            <color indexed="81"/>
            <rFont val="Tahoma"/>
            <family val="2"/>
          </rPr>
          <t>QUINTINO-DOS-SANTOS Erell:</t>
        </r>
        <r>
          <rPr>
            <sz val="9"/>
            <color indexed="81"/>
            <rFont val="Tahoma"/>
            <family val="2"/>
          </rPr>
          <t xml:space="preserve">
non : 0
oui : 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QUINTINO-DOS-SANTOS Erell</author>
  </authors>
  <commentList>
    <comment ref="K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QUINTINO-DOS-SANTOS Erell:</t>
        </r>
        <r>
          <rPr>
            <sz val="9"/>
            <color indexed="81"/>
            <rFont val="Tahoma"/>
            <family val="2"/>
          </rPr>
          <t xml:space="preserve">
Arenseigner seulement pour le cas des RCS
Année paire
Année impaire</t>
        </r>
      </text>
    </comment>
    <comment ref="L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QUINTINO-DOS-SANTOS Erell:
</t>
        </r>
        <r>
          <rPr>
            <sz val="9"/>
            <color indexed="81"/>
            <rFont val="Tahoma"/>
            <family val="2"/>
          </rPr>
          <t>A renseigner pour tous les réseaux: RHP/RRP/RCS/RCO/Réseau Biote</t>
        </r>
        <r>
          <rPr>
            <sz val="9"/>
            <color indexed="81"/>
            <rFont val="Tahoma"/>
            <family val="2"/>
          </rPr>
          <t xml:space="preserve">
non : 0
oui : 1</t>
        </r>
      </text>
    </comment>
    <comment ref="R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QUINTINO-DOS-SANTOS Erell:</t>
        </r>
        <r>
          <rPr>
            <sz val="9"/>
            <color indexed="81"/>
            <rFont val="Tahoma"/>
            <family val="2"/>
          </rPr>
          <t xml:space="preserve">
Renseigner la modalité de pêche actuelle:
Régie
Externe</t>
        </r>
      </text>
    </comment>
    <comment ref="T7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QUINTINO-DOS-SANTOS Erell:</t>
        </r>
        <r>
          <rPr>
            <sz val="9"/>
            <color indexed="81"/>
            <rFont val="Tahoma"/>
            <family val="2"/>
          </rPr>
          <t xml:space="preserve">
Renseigner le protocole utilisé:
Pêche complète
Pêche partielle</t>
        </r>
      </text>
    </comment>
    <comment ref="U7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QUINTINO-DOS-SANTOS Erell:</t>
        </r>
        <r>
          <rPr>
            <sz val="9"/>
            <color indexed="81"/>
            <rFont val="Tahoma"/>
            <family val="2"/>
          </rPr>
          <t xml:space="preserve">
Renseigner le moyen de prospection utilisé:
A pied 
A bâteau</t>
        </r>
      </text>
    </comment>
    <comment ref="W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QUINTINO-DOS-SANTOS Erell:</t>
        </r>
        <r>
          <rPr>
            <sz val="9"/>
            <color indexed="81"/>
            <rFont val="Tahoma"/>
            <family val="2"/>
          </rPr>
          <t xml:space="preserve">
non : 0
oui : 1</t>
        </r>
      </text>
    </comment>
    <comment ref="Y7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QUINTINO-DOS-SANTOS Erell:</t>
        </r>
        <r>
          <rPr>
            <sz val="9"/>
            <color indexed="81"/>
            <rFont val="Tahoma"/>
            <family val="2"/>
          </rPr>
          <t xml:space="preserve">
non : 0
oui : 1</t>
        </r>
      </text>
    </comment>
  </commentList>
</comments>
</file>

<file path=xl/sharedStrings.xml><?xml version="1.0" encoding="utf-8"?>
<sst xmlns="http://schemas.openxmlformats.org/spreadsheetml/2006/main" count="2414" uniqueCount="460">
  <si>
    <t>Département</t>
  </si>
  <si>
    <t>X
(Lambert 93)</t>
  </si>
  <si>
    <t>Y
(Lambert 93)</t>
  </si>
  <si>
    <t>Période d'échantillonnage à respecter</t>
  </si>
  <si>
    <t>DR</t>
  </si>
  <si>
    <t>Code station Sandre</t>
  </si>
  <si>
    <t>Nom de la station</t>
  </si>
  <si>
    <t>Modalité de pêche</t>
  </si>
  <si>
    <t>Régie</t>
  </si>
  <si>
    <t>Externe</t>
  </si>
  <si>
    <t>Cours d'eau</t>
  </si>
  <si>
    <t>RRP</t>
  </si>
  <si>
    <t>RCS</t>
  </si>
  <si>
    <t>RCO</t>
  </si>
  <si>
    <t>Code point de prélèvement POISSON</t>
  </si>
  <si>
    <t>UO1</t>
  </si>
  <si>
    <t>UO2</t>
  </si>
  <si>
    <t>UO3</t>
  </si>
  <si>
    <t>UO4</t>
  </si>
  <si>
    <t>UO5</t>
  </si>
  <si>
    <t>UO6</t>
  </si>
  <si>
    <t>UO7</t>
  </si>
  <si>
    <t>UO8</t>
  </si>
  <si>
    <t>UO9</t>
  </si>
  <si>
    <t>UO10</t>
  </si>
  <si>
    <t>N° commande</t>
  </si>
  <si>
    <t>…</t>
  </si>
  <si>
    <t>n°</t>
  </si>
  <si>
    <t>Commentaires</t>
  </si>
  <si>
    <t>Biote Esp. Cible</t>
  </si>
  <si>
    <t>Visite préalable</t>
  </si>
  <si>
    <t>Pêche complète ou partielle par points à pied + biométrie (1 anode)</t>
  </si>
  <si>
    <t>Pêche complète à pied + biométrie (2 anodes)</t>
  </si>
  <si>
    <t>Pêche partielle par points en bateau + biométrie (1 anode)</t>
  </si>
  <si>
    <t>Pêche partielle par points mixte + biométrie (1 anode)</t>
  </si>
  <si>
    <t>Pêche rendu impossible en cas de force majeur</t>
  </si>
  <si>
    <t xml:space="preserve">Prélevement biote </t>
  </si>
  <si>
    <t>Compte rendu</t>
  </si>
  <si>
    <t>Fiches de terrain</t>
  </si>
  <si>
    <t>Saisie ASPE</t>
  </si>
  <si>
    <t>Prévision annuelle</t>
  </si>
  <si>
    <t>non commandé</t>
  </si>
  <si>
    <t>Année N</t>
  </si>
  <si>
    <t>Quantité</t>
  </si>
  <si>
    <t>prix</t>
  </si>
  <si>
    <t>Prix (TTC)</t>
  </si>
  <si>
    <t>UO11</t>
  </si>
  <si>
    <t>UO12</t>
  </si>
  <si>
    <t>UO13</t>
  </si>
  <si>
    <t>UO11 bis</t>
  </si>
  <si>
    <t>UO12 bis</t>
  </si>
  <si>
    <t>UO13 bis</t>
  </si>
  <si>
    <t>Session d'information / formation 1/2 journée</t>
  </si>
  <si>
    <t>Session de terrain 
1/2 journée</t>
  </si>
  <si>
    <t>Session d'information / formation 
1 journée</t>
  </si>
  <si>
    <t>Session de terrain 
1 journée</t>
  </si>
  <si>
    <t>Réunion spécifique 
1/2 journée</t>
  </si>
  <si>
    <t>Réunion spécifique 
1 journée</t>
  </si>
  <si>
    <t>Total coût</t>
  </si>
  <si>
    <t>Lot
(Marché de pêches externalisées)</t>
  </si>
  <si>
    <t>Somme total</t>
  </si>
  <si>
    <t>Somme totale</t>
  </si>
  <si>
    <t>Bilan de réalisation annuel</t>
  </si>
  <si>
    <t>Biote</t>
  </si>
  <si>
    <t>Peches</t>
  </si>
  <si>
    <t>RHP</t>
  </si>
  <si>
    <t>Document de travail pour la préparation de la programmation 2019-2020 concernant les pêches électriques et prélèvement biote dans le cadre du programme de surveillance des cours d'eau</t>
  </si>
  <si>
    <t>paire</t>
  </si>
  <si>
    <t>impaire</t>
  </si>
  <si>
    <t>Coût prévisionnel financier du marché de pêche externalisées - Prestations par pêche réalisées</t>
  </si>
  <si>
    <t>Coût prévisionnel financier du marché de pêche externalisées - Prestations générales réalisées</t>
  </si>
  <si>
    <t xml:space="preserve">Quel est l'impact financier de la réalisation du RCS strict en externalisation? </t>
  </si>
  <si>
    <t>Type d'année
RCS</t>
  </si>
  <si>
    <t>Réseau Biote</t>
  </si>
  <si>
    <t>Méthode de prospection</t>
  </si>
  <si>
    <t>Moyen de prospection</t>
  </si>
  <si>
    <t>Nombre d'anodes</t>
  </si>
  <si>
    <t>Partielle</t>
  </si>
  <si>
    <t>A pied</t>
  </si>
  <si>
    <t>A bâteau</t>
  </si>
  <si>
    <t>22</t>
  </si>
  <si>
    <t>LEGUER à PLOUBEZRE</t>
  </si>
  <si>
    <t>04173100</t>
  </si>
  <si>
    <t>RANCE à EREAC</t>
  </si>
  <si>
    <t>04164758</t>
  </si>
  <si>
    <t>LOUP à PLOUGONVER</t>
  </si>
  <si>
    <t>04172860</t>
  </si>
  <si>
    <t>LARHON à SAINT-MAUDAN</t>
  </si>
  <si>
    <t>04195950</t>
  </si>
  <si>
    <t>LIÉ à CHEZE (LA)</t>
  </si>
  <si>
    <t>04196008</t>
  </si>
  <si>
    <t>GOUESSANT à COETMIEUX</t>
  </si>
  <si>
    <t>04168140</t>
  </si>
  <si>
    <t>TRIEUX à PLESIDY</t>
  </si>
  <si>
    <t>04171670</t>
  </si>
  <si>
    <t>GRUGUIL à SAINT-QUAY-PERROS</t>
  </si>
  <si>
    <t>04173405</t>
  </si>
  <si>
    <t>FLORA à SAINT-ALBAN</t>
  </si>
  <si>
    <t>04167750</t>
  </si>
  <si>
    <t>YAR à TREDUDER</t>
  </si>
  <si>
    <t>04173200</t>
  </si>
  <si>
    <t>RANCE à CAULNES</t>
  </si>
  <si>
    <t>04164850</t>
  </si>
  <si>
    <t>OUST à SAINT-MARTIN-DES-PRES</t>
  </si>
  <si>
    <t>04195400</t>
  </si>
  <si>
    <t>GUINDY à PLOUGUIEL</t>
  </si>
  <si>
    <t>04172570</t>
  </si>
  <si>
    <t>ROSETTE à MEGRIT</t>
  </si>
  <si>
    <t>04166800</t>
  </si>
  <si>
    <t>BLAVET à KERIEN</t>
  </si>
  <si>
    <t>04190650</t>
  </si>
  <si>
    <t>LIÉ à PLOEUC-SUR-LIE</t>
  </si>
  <si>
    <t>04196095</t>
  </si>
  <si>
    <t>GOUESSANT à SAINT-GLEN</t>
  </si>
  <si>
    <t>04167815</t>
  </si>
  <si>
    <t>TRIEUX à SQUIFFIEC</t>
  </si>
  <si>
    <t>04172030</t>
  </si>
  <si>
    <t>LEFF à YVIAS</t>
  </si>
  <si>
    <t>04171450</t>
  </si>
  <si>
    <t>29</t>
  </si>
  <si>
    <t>PONT L'ABBE à PLONEOUR-LANVERN</t>
  </si>
  <si>
    <t>04180900</t>
  </si>
  <si>
    <t>AULNE à LOCMARIA-BERRIEN</t>
  </si>
  <si>
    <t>04178455</t>
  </si>
  <si>
    <t>MIGNONNE à IRVILLAC</t>
  </si>
  <si>
    <t>04178103</t>
  </si>
  <si>
    <t>JET à ELLIANT</t>
  </si>
  <si>
    <t>04181960</t>
  </si>
  <si>
    <t>ELORN à PLOUEDERN</t>
  </si>
  <si>
    <t>04178000</t>
  </si>
  <si>
    <t>AVEN à ROSPORDEN</t>
  </si>
  <si>
    <t>04184600</t>
  </si>
  <si>
    <t>KERAMBELLEC</t>
  </si>
  <si>
    <t>04179565</t>
  </si>
  <si>
    <t>HORN à MESPAUL</t>
  </si>
  <si>
    <t>04174520</t>
  </si>
  <si>
    <t>ELORN à COMMANA</t>
  </si>
  <si>
    <t>04177320</t>
  </si>
  <si>
    <t>STER GOZ à BANNALEC</t>
  </si>
  <si>
    <t>ISOLE à SAINT-THURIEN</t>
  </si>
  <si>
    <t>04186700</t>
  </si>
  <si>
    <t>ELLEZ à BRENNILIS</t>
  </si>
  <si>
    <t>04178486</t>
  </si>
  <si>
    <t>AVEN à PONT-AVEN</t>
  </si>
  <si>
    <t>04184950</t>
  </si>
  <si>
    <t>PENFELD à BOHARS</t>
  </si>
  <si>
    <t>04177250</t>
  </si>
  <si>
    <t>MOROS à MELGEVEN</t>
  </si>
  <si>
    <t>04184195</t>
  </si>
  <si>
    <t>HYERE à CARHAIX-PLOUGUER</t>
  </si>
  <si>
    <t>04179000</t>
  </si>
  <si>
    <t>ABER WRAC'H à LANARVILY</t>
  </si>
  <si>
    <t>04175100</t>
  </si>
  <si>
    <t>AULNE à CHATEAULIN</t>
  </si>
  <si>
    <t>04179500</t>
  </si>
  <si>
    <t>GOYEN à PONT-CROIX</t>
  </si>
  <si>
    <t>04180100</t>
  </si>
  <si>
    <t>NEVET à DOUARNENEZ</t>
  </si>
  <si>
    <t>04179690</t>
  </si>
  <si>
    <t>ODET à QUIMPER</t>
  </si>
  <si>
    <t>04182000</t>
  </si>
  <si>
    <t>ELLE à ARZANO</t>
  </si>
  <si>
    <t>04188000</t>
  </si>
  <si>
    <t>ABER BENOIT à PLABENNEC</t>
  </si>
  <si>
    <t>04175450</t>
  </si>
  <si>
    <t>DOURDUFF à GARLAN</t>
  </si>
  <si>
    <t>04173737</t>
  </si>
  <si>
    <t>QUEFFLEUTH à MORLAIX</t>
  </si>
  <si>
    <t>04174250</t>
  </si>
  <si>
    <t>GUILLEC à TREZILIDE</t>
  </si>
  <si>
    <t>04174660</t>
  </si>
  <si>
    <t>AULNE à LANDELEAU</t>
  </si>
  <si>
    <t>04178650</t>
  </si>
  <si>
    <t>35</t>
  </si>
  <si>
    <t>COUESNON à ROMAZY</t>
  </si>
  <si>
    <t>04162300</t>
  </si>
  <si>
    <t>NANCON à LECOUSSE</t>
  </si>
  <si>
    <t>04161595</t>
  </si>
  <si>
    <t>CANTACHE à DOMPIERRE-DU-CHEMIN</t>
  </si>
  <si>
    <t>04201185</t>
  </si>
  <si>
    <t>VILAINE à SAINTE-MARIE</t>
  </si>
  <si>
    <t>04215750</t>
  </si>
  <si>
    <t>SEMNON à PLECHATEL</t>
  </si>
  <si>
    <t>04212700</t>
  </si>
  <si>
    <t>ILLE à MONTREUIL-SUR-ILLE</t>
  </si>
  <si>
    <t>04205500</t>
  </si>
  <si>
    <t>GUYOULT à MONT DOL</t>
  </si>
  <si>
    <t>04163500</t>
  </si>
  <si>
    <t>AFF à PAIMPONT</t>
  </si>
  <si>
    <t>04199370</t>
  </si>
  <si>
    <t>SEICHE à BRUZ</t>
  </si>
  <si>
    <t>04211000</t>
  </si>
  <si>
    <t>YAIGNE à NOUVOITOU</t>
  </si>
  <si>
    <t>04210800</t>
  </si>
  <si>
    <t>VILAINE à GUICHEN</t>
  </si>
  <si>
    <t>04209990</t>
  </si>
  <si>
    <t>VILAINE à CESSON-SEVIGNE</t>
  </si>
  <si>
    <t>04204300</t>
  </si>
  <si>
    <t>FLUME à PACE</t>
  </si>
  <si>
    <t>04207400</t>
  </si>
  <si>
    <t>RUISSEAU DE LA CHENELAIS à PLEINES FOUGERES</t>
  </si>
  <si>
    <t>04163050</t>
  </si>
  <si>
    <t>LOISANCE à SAINT-OUEN-LA-ROUERIE</t>
  </si>
  <si>
    <t>04162958</t>
  </si>
  <si>
    <t>COUESNON à ANTRAIN</t>
  </si>
  <si>
    <t>04163000</t>
  </si>
  <si>
    <t>ILLET à GOSNE</t>
  </si>
  <si>
    <t>04205605</t>
  </si>
  <si>
    <t>CANUT NORD à MAXENT</t>
  </si>
  <si>
    <t>04211550</t>
  </si>
  <si>
    <t>ARON à GRAND FOUGERAY</t>
  </si>
  <si>
    <t>04214295</t>
  </si>
  <si>
    <t>MEU à MORDELLES</t>
  </si>
  <si>
    <t>04209000</t>
  </si>
  <si>
    <t>56</t>
  </si>
  <si>
    <t>SEDON à GUEGON</t>
  </si>
  <si>
    <t>04197818</t>
  </si>
  <si>
    <t>EVEL à GUENIN</t>
  </si>
  <si>
    <t>04192830</t>
  </si>
  <si>
    <t>ELLE à FAOUET (LE)</t>
  </si>
  <si>
    <t>04187525</t>
  </si>
  <si>
    <t>STER LAÊR ou INAM à LANVENEGUEN</t>
  </si>
  <si>
    <t>04187710</t>
  </si>
  <si>
    <t>SARRE à MELRAND</t>
  </si>
  <si>
    <t>04192550</t>
  </si>
  <si>
    <t>TARUN à PLUMELIN</t>
  </si>
  <si>
    <t>04192950</t>
  </si>
  <si>
    <t>CLAIE A PLEUCADEUC</t>
  </si>
  <si>
    <t>04199078</t>
  </si>
  <si>
    <t>YVEL à LOYAT</t>
  </si>
  <si>
    <t>04196950</t>
  </si>
  <si>
    <t>PENERF A SURZUR</t>
  </si>
  <si>
    <t>04217100</t>
  </si>
  <si>
    <t>OUST à PLEUGRIFFET</t>
  </si>
  <si>
    <t>04196449</t>
  </si>
  <si>
    <t>BLAVET à LANGUIDIC</t>
  </si>
  <si>
    <t>04194000</t>
  </si>
  <si>
    <t>NINIAN A TAUPONT</t>
  </si>
  <si>
    <t>04197600</t>
  </si>
  <si>
    <t>VILAINE à RIEUX</t>
  </si>
  <si>
    <t>04216000</t>
  </si>
  <si>
    <t>OUST à SAINT-MARTIN</t>
  </si>
  <si>
    <t>04199200</t>
  </si>
  <si>
    <t>BLAVET à NEULLIAC</t>
  </si>
  <si>
    <t>04191410</t>
  </si>
  <si>
    <t>AFF à QUELNEUC</t>
  </si>
  <si>
    <t>04199490</t>
  </si>
  <si>
    <t>SCORFF à ARZANO</t>
  </si>
  <si>
    <t>04190000</t>
  </si>
  <si>
    <t>LOC'H à BRECH</t>
  </si>
  <si>
    <t>04195000</t>
  </si>
  <si>
    <t>ETEL A NOSTANG</t>
  </si>
  <si>
    <t>04194500</t>
  </si>
  <si>
    <t>ARZ à MOLAC</t>
  </si>
  <si>
    <t>04199865</t>
  </si>
  <si>
    <t>Don à Guemene-penfao</t>
  </si>
  <si>
    <t>04215485</t>
  </si>
  <si>
    <t>Gesvres à Treillieres</t>
  </si>
  <si>
    <t>04146840</t>
  </si>
  <si>
    <t>Moine à Getigne</t>
  </si>
  <si>
    <t>04143000</t>
  </si>
  <si>
    <t>Jeanneau à Riaille</t>
  </si>
  <si>
    <t>ISAC à GUENROUET</t>
  </si>
  <si>
    <t>04215800</t>
  </si>
  <si>
    <t>CHERE à CHATEAUBRIANT</t>
  </si>
  <si>
    <t>04214000</t>
  </si>
  <si>
    <t>FALLERON à MACHECOUL</t>
  </si>
  <si>
    <t>04150500</t>
  </si>
  <si>
    <t>ERDRE à Nort sur Erdre</t>
  </si>
  <si>
    <t>04146500</t>
  </si>
  <si>
    <t>CHERE à PIERRIC</t>
  </si>
  <si>
    <t>04214495</t>
  </si>
  <si>
    <t>SANGUEZE à LE PALLET</t>
  </si>
  <si>
    <t>04143150</t>
  </si>
  <si>
    <t>MAINE à CHATEAUTHEBAUD</t>
  </si>
  <si>
    <t>04145000</t>
  </si>
  <si>
    <t>SEVRE NANTAISE à VERTOU</t>
  </si>
  <si>
    <t>04146000</t>
  </si>
  <si>
    <t>Loir à Corze</t>
  </si>
  <si>
    <t>04110000</t>
  </si>
  <si>
    <t>Layon à Nueil-sur-layon</t>
  </si>
  <si>
    <t>04133200</t>
  </si>
  <si>
    <t>Thouet à Artannes-sur-thouet</t>
  </si>
  <si>
    <t>04102500</t>
  </si>
  <si>
    <t>Hyrome à Chemille</t>
  </si>
  <si>
    <t>04133960</t>
  </si>
  <si>
    <t>Loire à Montjean-sur-loire</t>
  </si>
  <si>
    <t>04134700</t>
  </si>
  <si>
    <t>Loire à Genne</t>
  </si>
  <si>
    <t>04103200</t>
  </si>
  <si>
    <t>OUDON à ANDIGNE</t>
  </si>
  <si>
    <t>04132000</t>
  </si>
  <si>
    <t>ARGOS à SAINTE-GEMMES-D'ANDIGNE</t>
  </si>
  <si>
    <t>04131550</t>
  </si>
  <si>
    <t>SARTHE à CHEFFES</t>
  </si>
  <si>
    <t>04123000</t>
  </si>
  <si>
    <t>DIVE à BREZE</t>
  </si>
  <si>
    <t>04102400</t>
  </si>
  <si>
    <t>AUTHION à LES PONTS-DE-CE</t>
  </si>
  <si>
    <t>04104500</t>
  </si>
  <si>
    <t>LATHAN à LONGUE-JUMELLES</t>
  </si>
  <si>
    <t>04103950</t>
  </si>
  <si>
    <t>EVRE à SAINT-FLORENT-LE-VIEIL</t>
  </si>
  <si>
    <t>04135000</t>
  </si>
  <si>
    <t>MAYENNE à MONTREUIL-JUIGNE</t>
  </si>
  <si>
    <t>04132500</t>
  </si>
  <si>
    <t>LAYON à SAINT-LAMBERT-DU-LATTAY</t>
  </si>
  <si>
    <t>04134000</t>
  </si>
  <si>
    <t>COUASNON à GEE</t>
  </si>
  <si>
    <t>04104200</t>
  </si>
  <si>
    <t>BRIONNEAU à AVRILLE</t>
  </si>
  <si>
    <t>04132800</t>
  </si>
  <si>
    <t>DIVATTE à LA VARENNE</t>
  </si>
  <si>
    <t>04136600</t>
  </si>
  <si>
    <t>MAINE à BOUCHEMAINE</t>
  </si>
  <si>
    <t>04133000</t>
  </si>
  <si>
    <t>L'ouette à Parne-sur-roc</t>
  </si>
  <si>
    <t>04128050</t>
  </si>
  <si>
    <t>Oudon à Craon</t>
  </si>
  <si>
    <t>04130500</t>
  </si>
  <si>
    <t>OISILLY à CHAMPGENETEUX</t>
  </si>
  <si>
    <t>04124875</t>
  </si>
  <si>
    <t>Aron à Chapelle-au-riboul (la)</t>
  </si>
  <si>
    <t>04124985</t>
  </si>
  <si>
    <t>Vaudelle à Saint-germain-de-coulamer</t>
  </si>
  <si>
    <t>04113050</t>
  </si>
  <si>
    <t>Mayenne à Saint-sulpice</t>
  </si>
  <si>
    <t>04128490</t>
  </si>
  <si>
    <t>Erve à Chammes</t>
  </si>
  <si>
    <t>04119750</t>
  </si>
  <si>
    <t>Ernee à Ernee</t>
  </si>
  <si>
    <t>04125500</t>
  </si>
  <si>
    <t>HIERE à CHERANCE</t>
  </si>
  <si>
    <t>04131200</t>
  </si>
  <si>
    <t>VARENNE à COUESMES-VAUCE</t>
  </si>
  <si>
    <t>04123800</t>
  </si>
  <si>
    <t>MAYENNE à SAINT-BAUDELLE</t>
  </si>
  <si>
    <t>04124850</t>
  </si>
  <si>
    <t>VILAINE à BOURGON</t>
  </si>
  <si>
    <t>04200595</t>
  </si>
  <si>
    <t>MAYENNE à AMBRIERES-LES-VALLEES</t>
  </si>
  <si>
    <t>04123750</t>
  </si>
  <si>
    <t>JOUANNE à FORCE</t>
  </si>
  <si>
    <t>04127000</t>
  </si>
  <si>
    <t>Huisne à Aveze</t>
  </si>
  <si>
    <t>04116800</t>
  </si>
  <si>
    <t>Sarthe à Dureil</t>
  </si>
  <si>
    <t>04119170 ?</t>
  </si>
  <si>
    <t>Vegre à Epineu-le-chevreuil</t>
  </si>
  <si>
    <t>04119220</t>
  </si>
  <si>
    <t>Sarthe à Saint-aubin-de-locquenay</t>
  </si>
  <si>
    <t>04113250</t>
  </si>
  <si>
    <t>L'Orne saosnoise à Saint-mars-sous-ballon</t>
  </si>
  <si>
    <t>04114500</t>
  </si>
  <si>
    <t>Tusson à Evaille</t>
  </si>
  <si>
    <t>04108425</t>
  </si>
  <si>
    <t>Braye à Valennes</t>
  </si>
  <si>
    <t>04108285</t>
  </si>
  <si>
    <t>HUISNE à LE MANS</t>
  </si>
  <si>
    <t>04118000</t>
  </si>
  <si>
    <t>SARTHE à MOULINS-LE-CARBONNEL</t>
  </si>
  <si>
    <t>04112200</t>
  </si>
  <si>
    <t>Sarthe à Vivoin</t>
  </si>
  <si>
    <t>04113800</t>
  </si>
  <si>
    <t>SARTHE à NEUVILLE-SUR-SARTHE</t>
  </si>
  <si>
    <t>04115200</t>
  </si>
  <si>
    <t>DIVE à MONCE-EN-SAOSNOIS</t>
  </si>
  <si>
    <t>04114100</t>
  </si>
  <si>
    <t>ANTONNIERE à SAINT-SATURNIN</t>
  </si>
  <si>
    <t>04115500</t>
  </si>
  <si>
    <t>AUNE à PONTVALLAIN</t>
  </si>
  <si>
    <t>04108736</t>
  </si>
  <si>
    <t>LOIR à NOGENT-SUR-LOIR</t>
  </si>
  <si>
    <t>04108500</t>
  </si>
  <si>
    <t>SARTHE à ARNAGE</t>
  </si>
  <si>
    <t>04119000</t>
  </si>
  <si>
    <t>Grand Lay à Monsireigne</t>
  </si>
  <si>
    <t>04153600</t>
  </si>
  <si>
    <t>Sevre nantaise à Mallievre</t>
  </si>
  <si>
    <t>04139050</t>
  </si>
  <si>
    <t>Vendee à Chapelle-aux-lys (la)</t>
  </si>
  <si>
    <t>04156200</t>
  </si>
  <si>
    <t>Ciboule à Girouard (le)</t>
  </si>
  <si>
    <t>04153100</t>
  </si>
  <si>
    <t>Vie à Poire-sur-vie (le)</t>
  </si>
  <si>
    <t>04150830</t>
  </si>
  <si>
    <t>Gue chatenay à Poiroux</t>
  </si>
  <si>
    <t>04153300</t>
  </si>
  <si>
    <t>LIGNERON à SOULLANS</t>
  </si>
  <si>
    <t>04151500</t>
  </si>
  <si>
    <t>LOING à CHANTONNAY</t>
  </si>
  <si>
    <t>04153700</t>
  </si>
  <si>
    <t>VIE à LE FENOUILLER</t>
  </si>
  <si>
    <t>04152000</t>
  </si>
  <si>
    <t>JAUNAY à MARTINET</t>
  </si>
  <si>
    <t>04152500</t>
  </si>
  <si>
    <t>GRANDE MAINE à SAINT-FULGENT</t>
  </si>
  <si>
    <t>04143500</t>
  </si>
  <si>
    <t>SEVREAU à SAINT MESMIN</t>
  </si>
  <si>
    <t>04137993</t>
  </si>
  <si>
    <t>PETIT LAY à SAINT-HILAIRE-LE-VOUHIS</t>
  </si>
  <si>
    <t>04154050</t>
  </si>
  <si>
    <t>BOULOGNE à SAINT-PHILBERT-DE-GRAND-L</t>
  </si>
  <si>
    <t>04148590</t>
  </si>
  <si>
    <t>LAY à LA CLAYE</t>
  </si>
  <si>
    <t>04155500</t>
  </si>
  <si>
    <t>SMAGNE à SAINTE-PEXINE</t>
  </si>
  <si>
    <t>04154200</t>
  </si>
  <si>
    <t>FRESNAY ou FENDERIE à VIBRAYE</t>
  </si>
  <si>
    <t>04108290</t>
  </si>
  <si>
    <t>MERDEREAU à SAINT-PAUL-LE-GAULTIER</t>
  </si>
  <si>
    <t>04112700</t>
  </si>
  <si>
    <t>AER à CROISTY (LE)</t>
  </si>
  <si>
    <t>04187500</t>
  </si>
  <si>
    <t>RAU DU MOULIN DU DUC à LANGONNET</t>
  </si>
  <si>
    <t>04187600</t>
  </si>
  <si>
    <t>LIE à LA PRENESSAYE</t>
  </si>
  <si>
    <t>04196300</t>
  </si>
  <si>
    <t>MARZAN à MARZAN</t>
  </si>
  <si>
    <t>04217400</t>
  </si>
  <si>
    <t>MILIN PRAT A LOGUIVY-PLOUGRAS</t>
  </si>
  <si>
    <t>04322000</t>
  </si>
  <si>
    <t>GARVAN A DINEAULT</t>
  </si>
  <si>
    <t>04338000</t>
  </si>
  <si>
    <t>RAU NEUFCHATEL-EN-SAOSNOIS À NEUFCHATEL-EN-SAOSNOIS</t>
  </si>
  <si>
    <t>04601001</t>
  </si>
  <si>
    <t>R PALAIS A JOUE-EN-CHARNIE</t>
  </si>
  <si>
    <t>04605003</t>
  </si>
  <si>
    <t>annuel</t>
  </si>
  <si>
    <t>Mixte</t>
  </si>
  <si>
    <t xml:space="preserve">Partielle </t>
  </si>
  <si>
    <t>Complete</t>
  </si>
  <si>
    <t>partielle</t>
  </si>
  <si>
    <t>Automne</t>
  </si>
  <si>
    <t>Printemps</t>
  </si>
  <si>
    <t>GAR</t>
  </si>
  <si>
    <t>CHE</t>
  </si>
  <si>
    <t>Régie pour suivi EEE impact corbicule</t>
  </si>
  <si>
    <t>Régie 1/2  pour suivi EEE impact corbicule</t>
  </si>
  <si>
    <t>BPDL</t>
  </si>
  <si>
    <t>Opérateur</t>
  </si>
  <si>
    <t>HydroC</t>
  </si>
  <si>
    <t xml:space="preserve"> </t>
  </si>
  <si>
    <t>04184830</t>
  </si>
  <si>
    <t>OFB</t>
  </si>
  <si>
    <t>HydroC/exOFB</t>
  </si>
  <si>
    <t>Régie44</t>
  </si>
  <si>
    <t>Externe/régie1</t>
  </si>
  <si>
    <t>OFB PDL</t>
  </si>
  <si>
    <t>HydroC-paire/OFB</t>
  </si>
  <si>
    <t>Régie PDL</t>
  </si>
  <si>
    <t>LIÉ à CHEZE (LA)-Plumieux</t>
  </si>
  <si>
    <r>
      <t xml:space="preserve">Pêches prévues en </t>
    </r>
    <r>
      <rPr>
        <b/>
        <sz val="10"/>
        <color rgb="FFFF0000"/>
        <rFont val="Arial"/>
        <family val="2"/>
      </rPr>
      <t>2027</t>
    </r>
  </si>
  <si>
    <r>
      <t xml:space="preserve">Pêches prévues en </t>
    </r>
    <r>
      <rPr>
        <b/>
        <sz val="10"/>
        <color rgb="FFFF0000"/>
        <rFont val="Arial"/>
        <family val="2"/>
      </rPr>
      <t>2026</t>
    </r>
  </si>
  <si>
    <r>
      <t>Pêches réellement effectuées en</t>
    </r>
    <r>
      <rPr>
        <b/>
        <sz val="10"/>
        <color rgb="FFFF0000"/>
        <rFont val="Arial"/>
        <family val="2"/>
      </rPr>
      <t xml:space="preserve"> 2027</t>
    </r>
  </si>
  <si>
    <r>
      <t>Pêches réellement effectuées en</t>
    </r>
    <r>
      <rPr>
        <b/>
        <sz val="10"/>
        <color rgb="FFFF0000"/>
        <rFont val="Arial"/>
        <family val="2"/>
      </rPr>
      <t xml:space="preserve"> 2026</t>
    </r>
  </si>
  <si>
    <r>
      <t xml:space="preserve">Biote prévus en </t>
    </r>
    <r>
      <rPr>
        <b/>
        <sz val="10"/>
        <color rgb="FFFF0000"/>
        <rFont val="Arial"/>
        <family val="2"/>
      </rPr>
      <t>2027</t>
    </r>
  </si>
  <si>
    <r>
      <t xml:space="preserve">Biote prévus en </t>
    </r>
    <r>
      <rPr>
        <b/>
        <sz val="10"/>
        <color rgb="FFFF0000"/>
        <rFont val="Arial"/>
        <family val="2"/>
      </rPr>
      <t>2026</t>
    </r>
  </si>
  <si>
    <r>
      <t>Biote réellement effectué en</t>
    </r>
    <r>
      <rPr>
        <b/>
        <sz val="10"/>
        <color rgb="FFFF0000"/>
        <rFont val="Arial"/>
        <family val="2"/>
      </rPr>
      <t xml:space="preserve"> 2027</t>
    </r>
  </si>
  <si>
    <r>
      <t xml:space="preserve">Biote réellement effectué en </t>
    </r>
    <r>
      <rPr>
        <b/>
        <sz val="10"/>
        <color rgb="FFFF0000"/>
        <rFont val="Arial"/>
        <family val="2"/>
      </rPr>
      <t>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</si>
</sst>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8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8"/>
      <color theme="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i/>
      <sz val="16"/>
      <color theme="8" tint="-0.499984740745262"/>
      <name val="Calibri"/>
      <family val="2"/>
      <scheme val="minor"/>
    </font>
    <font>
      <sz val="10"/>
      <color indexed="8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8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4" fillId="0" borderId="0"/>
  </cellStyleXfs>
  <cellXfs count="128">
    <xf numFmtId="0" fontId="0" fillId="0" borderId="0" xfId="0"/>
    <xf numFmtId="0" fontId="0" fillId="0" borderId="0" xfId="0" applyFill="1"/>
    <xf numFmtId="0" fontId="0" fillId="0" borderId="0" xfId="0" applyBorder="1"/>
    <xf numFmtId="0" fontId="0" fillId="0" borderId="0" xfId="0" applyFill="1" applyBorder="1"/>
    <xf numFmtId="0" fontId="0" fillId="0" borderId="5" xfId="0" applyBorder="1"/>
    <xf numFmtId="0" fontId="0" fillId="0" borderId="5" xfId="0" applyFill="1" applyBorder="1"/>
    <xf numFmtId="0" fontId="1" fillId="3" borderId="5" xfId="0" applyFont="1" applyFill="1" applyBorder="1" applyAlignment="1">
      <alignment horizontal="center" vertical="center" wrapText="1"/>
    </xf>
    <xf numFmtId="0" fontId="6" fillId="7" borderId="0" xfId="0" applyFont="1" applyFill="1" applyAlignment="1"/>
    <xf numFmtId="0" fontId="7" fillId="0" borderId="0" xfId="0" applyFont="1" applyAlignment="1"/>
    <xf numFmtId="0" fontId="0" fillId="0" borderId="0" xfId="0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2" fillId="0" borderId="5" xfId="0" applyFont="1" applyBorder="1"/>
    <xf numFmtId="0" fontId="12" fillId="0" borderId="0" xfId="0" applyFont="1"/>
    <xf numFmtId="0" fontId="12" fillId="0" borderId="5" xfId="0" applyFont="1" applyFill="1" applyBorder="1"/>
    <xf numFmtId="0" fontId="8" fillId="2" borderId="5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/>
    <xf numFmtId="0" fontId="3" fillId="0" borderId="0" xfId="0" applyFont="1" applyFill="1" applyBorder="1" applyAlignment="1">
      <alignment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13" fillId="0" borderId="0" xfId="0" applyFont="1" applyAlignment="1"/>
    <xf numFmtId="0" fontId="8" fillId="3" borderId="1" xfId="0" applyFont="1" applyFill="1" applyBorder="1" applyAlignment="1">
      <alignment horizontal="center" vertical="center" wrapText="1"/>
    </xf>
    <xf numFmtId="0" fontId="0" fillId="7" borderId="0" xfId="0" applyFill="1"/>
    <xf numFmtId="0" fontId="0" fillId="0" borderId="0" xfId="0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/>
    </xf>
    <xf numFmtId="0" fontId="8" fillId="0" borderId="13" xfId="0" applyFont="1" applyFill="1" applyBorder="1" applyAlignment="1">
      <alignment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/>
    </xf>
    <xf numFmtId="0" fontId="0" fillId="0" borderId="5" xfId="0" applyFill="1" applyBorder="1" applyAlignment="1">
      <alignment horizontal="right" vertical="center"/>
    </xf>
    <xf numFmtId="0" fontId="0" fillId="0" borderId="5" xfId="0" applyFill="1" applyBorder="1" applyAlignment="1"/>
    <xf numFmtId="0" fontId="0" fillId="0" borderId="5" xfId="0" applyFont="1" applyFill="1" applyBorder="1" applyAlignment="1">
      <alignment horizontal="center"/>
    </xf>
    <xf numFmtId="0" fontId="2" fillId="0" borderId="5" xfId="0" quotePrefix="1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14" fillId="0" borderId="5" xfId="2" applyFont="1" applyFill="1" applyBorder="1" applyAlignment="1">
      <alignment horizontal="left"/>
    </xf>
    <xf numFmtId="49" fontId="0" fillId="0" borderId="5" xfId="0" applyNumberFormat="1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/>
    </xf>
    <xf numFmtId="1" fontId="15" fillId="0" borderId="5" xfId="0" applyNumberFormat="1" applyFont="1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0" fontId="12" fillId="0" borderId="8" xfId="0" applyFont="1" applyBorder="1"/>
    <xf numFmtId="0" fontId="0" fillId="0" borderId="8" xfId="0" applyBorder="1"/>
    <xf numFmtId="0" fontId="8" fillId="9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right" vertical="center" wrapText="1"/>
    </xf>
    <xf numFmtId="0" fontId="0" fillId="8" borderId="12" xfId="0" applyFill="1" applyBorder="1"/>
    <xf numFmtId="0" fontId="0" fillId="5" borderId="12" xfId="0" applyFill="1" applyBorder="1"/>
    <xf numFmtId="0" fontId="0" fillId="6" borderId="12" xfId="0" applyFill="1" applyBorder="1"/>
    <xf numFmtId="0" fontId="16" fillId="0" borderId="5" xfId="0" applyFont="1" applyFill="1" applyBorder="1" applyAlignment="1">
      <alignment horizontal="center"/>
    </xf>
    <xf numFmtId="164" fontId="17" fillId="0" borderId="5" xfId="0" applyNumberFormat="1" applyFont="1" applyBorder="1" applyAlignment="1">
      <alignment horizontal="center" vertical="center" wrapText="1"/>
    </xf>
    <xf numFmtId="0" fontId="0" fillId="0" borderId="5" xfId="0" applyFont="1" applyFill="1" applyBorder="1" applyAlignment="1">
      <alignment horizontal="right"/>
    </xf>
    <xf numFmtId="0" fontId="2" fillId="0" borderId="5" xfId="0" applyFont="1" applyFill="1" applyBorder="1"/>
    <xf numFmtId="0" fontId="0" fillId="0" borderId="1" xfId="0" applyBorder="1"/>
    <xf numFmtId="0" fontId="0" fillId="0" borderId="1" xfId="0" applyFill="1" applyBorder="1" applyAlignment="1">
      <alignment horizontal="right" vertical="center"/>
    </xf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49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1" fontId="2" fillId="0" borderId="1" xfId="0" applyNumberFormat="1" applyFont="1" applyFill="1" applyBorder="1" applyAlignment="1">
      <alignment horizontal="center"/>
    </xf>
    <xf numFmtId="0" fontId="12" fillId="0" borderId="1" xfId="0" applyFont="1" applyBorder="1"/>
    <xf numFmtId="0" fontId="8" fillId="3" borderId="12" xfId="0" applyFont="1" applyFill="1" applyBorder="1" applyAlignment="1">
      <alignment horizontal="right" vertical="center" wrapText="1"/>
    </xf>
    <xf numFmtId="0" fontId="11" fillId="6" borderId="12" xfId="0" applyFont="1" applyFill="1" applyBorder="1"/>
    <xf numFmtId="0" fontId="8" fillId="0" borderId="5" xfId="0" applyFont="1" applyFill="1" applyBorder="1" applyAlignment="1">
      <alignment horizontal="right" vertical="center" wrapText="1"/>
    </xf>
    <xf numFmtId="0" fontId="11" fillId="0" borderId="5" xfId="0" applyFont="1" applyFill="1" applyBorder="1"/>
    <xf numFmtId="0" fontId="0" fillId="0" borderId="5" xfId="0" applyFill="1" applyBorder="1" applyAlignment="1">
      <alignment horizontal="center"/>
    </xf>
    <xf numFmtId="2" fontId="0" fillId="0" borderId="5" xfId="0" applyNumberFormat="1" applyFill="1" applyBorder="1" applyAlignment="1"/>
    <xf numFmtId="2" fontId="14" fillId="0" borderId="5" xfId="2" applyNumberFormat="1" applyFont="1" applyFill="1" applyBorder="1" applyAlignment="1">
      <alignment horizontal="left"/>
    </xf>
    <xf numFmtId="2" fontId="0" fillId="0" borderId="5" xfId="0" applyNumberFormat="1" applyFill="1" applyBorder="1"/>
    <xf numFmtId="2" fontId="0" fillId="0" borderId="1" xfId="0" applyNumberFormat="1" applyFill="1" applyBorder="1"/>
    <xf numFmtId="2" fontId="14" fillId="0" borderId="5" xfId="2" applyNumberFormat="1" applyFont="1" applyFill="1" applyBorder="1" applyAlignment="1">
      <alignment horizontal="center"/>
    </xf>
    <xf numFmtId="0" fontId="12" fillId="12" borderId="5" xfId="0" applyFont="1" applyFill="1" applyBorder="1"/>
    <xf numFmtId="0" fontId="0" fillId="12" borderId="5" xfId="0" applyFill="1" applyBorder="1"/>
    <xf numFmtId="0" fontId="0" fillId="0" borderId="5" xfId="0" applyFill="1" applyBorder="1" applyAlignment="1">
      <alignment horizontal="center"/>
    </xf>
    <xf numFmtId="0" fontId="0" fillId="0" borderId="5" xfId="0" quotePrefix="1" applyFill="1" applyBorder="1"/>
    <xf numFmtId="0" fontId="0" fillId="0" borderId="5" xfId="0" applyBorder="1" applyAlignment="1">
      <alignment horizontal="center"/>
    </xf>
    <xf numFmtId="0" fontId="0" fillId="2" borderId="5" xfId="0" applyFill="1" applyBorder="1"/>
    <xf numFmtId="0" fontId="12" fillId="13" borderId="5" xfId="0" applyFont="1" applyFill="1" applyBorder="1"/>
    <xf numFmtId="0" fontId="12" fillId="2" borderId="5" xfId="0" applyFont="1" applyFill="1" applyBorder="1"/>
    <xf numFmtId="0" fontId="0" fillId="0" borderId="5" xfId="0" applyFill="1" applyBorder="1" applyAlignment="1">
      <alignment horizontal="center"/>
    </xf>
    <xf numFmtId="0" fontId="3" fillId="5" borderId="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9" fillId="9" borderId="5" xfId="0" applyFont="1" applyFill="1" applyBorder="1" applyAlignment="1">
      <alignment horizontal="center" vertical="center" wrapText="1"/>
    </xf>
    <xf numFmtId="0" fontId="8" fillId="9" borderId="5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left" wrapText="1"/>
    </xf>
    <xf numFmtId="0" fontId="13" fillId="0" borderId="0" xfId="0" applyFont="1" applyAlignment="1">
      <alignment horizontal="left"/>
    </xf>
    <xf numFmtId="0" fontId="8" fillId="3" borderId="1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_Feuil1" xfId="2" xr:uid="{00000000-0005-0000-0000-000002000000}"/>
  </cellStyles>
  <dxfs count="12">
    <dxf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57EE2-C163-40BF-ADC2-DCABADB59587}">
  <dimension ref="A1:AE64"/>
  <sheetViews>
    <sheetView topLeftCell="A61" zoomScale="148" zoomScaleNormal="148" workbookViewId="0">
      <selection activeCell="A65" sqref="A65"/>
    </sheetView>
  </sheetViews>
  <sheetFormatPr baseColWidth="10" defaultRowHeight="14.4" x14ac:dyDescent="0.3"/>
  <cols>
    <col min="1" max="2" width="6.109375" customWidth="1"/>
    <col min="3" max="3" width="6.33203125" customWidth="1"/>
    <col min="5" max="5" width="25.88671875" customWidth="1"/>
    <col min="7" max="7" width="26.6640625" customWidth="1"/>
    <col min="10" max="10" width="4.109375" customWidth="1"/>
    <col min="12" max="17" width="8.88671875" customWidth="1"/>
  </cols>
  <sheetData>
    <row r="1" spans="1:31" x14ac:dyDescent="0.3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4"/>
      <c r="Q1" s="24"/>
      <c r="R1" s="23"/>
      <c r="S1" s="90" t="s">
        <v>64</v>
      </c>
      <c r="T1" s="91"/>
      <c r="U1" s="91"/>
      <c r="V1" s="91"/>
      <c r="W1" s="91"/>
      <c r="X1" s="91"/>
      <c r="Y1" s="91"/>
      <c r="Z1" s="92"/>
      <c r="AA1" s="90" t="s">
        <v>63</v>
      </c>
      <c r="AB1" s="91"/>
      <c r="AC1" s="91"/>
      <c r="AD1" s="92"/>
    </row>
    <row r="2" spans="1:31" x14ac:dyDescent="0.3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4"/>
      <c r="Q2" s="24"/>
      <c r="R2" s="25"/>
      <c r="S2" s="85" t="s">
        <v>40</v>
      </c>
      <c r="T2" s="86"/>
      <c r="U2" s="86"/>
      <c r="V2" s="86"/>
      <c r="W2" s="86"/>
      <c r="X2" s="87"/>
      <c r="Y2" s="88" t="s">
        <v>62</v>
      </c>
      <c r="Z2" s="89"/>
      <c r="AA2" s="85" t="s">
        <v>40</v>
      </c>
      <c r="AB2" s="86"/>
      <c r="AC2" s="88" t="s">
        <v>62</v>
      </c>
      <c r="AD2" s="89"/>
      <c r="AE2" s="29"/>
    </row>
    <row r="3" spans="1:31" ht="158.4" x14ac:dyDescent="0.3">
      <c r="A3" s="44" t="s">
        <v>59</v>
      </c>
      <c r="B3" s="44" t="s">
        <v>4</v>
      </c>
      <c r="C3" s="45" t="s">
        <v>0</v>
      </c>
      <c r="D3" s="45" t="s">
        <v>440</v>
      </c>
      <c r="E3" s="45" t="s">
        <v>10</v>
      </c>
      <c r="F3" s="45" t="s">
        <v>5</v>
      </c>
      <c r="G3" s="45" t="s">
        <v>6</v>
      </c>
      <c r="H3" s="45" t="s">
        <v>1</v>
      </c>
      <c r="I3" s="45" t="s">
        <v>2</v>
      </c>
      <c r="J3" s="45" t="s">
        <v>14</v>
      </c>
      <c r="K3" s="46" t="s">
        <v>72</v>
      </c>
      <c r="L3" s="19" t="s">
        <v>65</v>
      </c>
      <c r="M3" s="19" t="s">
        <v>11</v>
      </c>
      <c r="N3" s="19" t="s">
        <v>12</v>
      </c>
      <c r="O3" s="47" t="s">
        <v>13</v>
      </c>
      <c r="P3" s="19" t="s">
        <v>73</v>
      </c>
      <c r="Q3" s="19" t="s">
        <v>29</v>
      </c>
      <c r="R3" s="48" t="s">
        <v>7</v>
      </c>
      <c r="S3" s="10" t="s">
        <v>3</v>
      </c>
      <c r="T3" s="10" t="s">
        <v>74</v>
      </c>
      <c r="U3" s="10" t="s">
        <v>75</v>
      </c>
      <c r="V3" s="10" t="s">
        <v>76</v>
      </c>
      <c r="W3" s="10" t="s">
        <v>452</v>
      </c>
      <c r="X3" s="10" t="s">
        <v>453</v>
      </c>
      <c r="Y3" s="11" t="s">
        <v>454</v>
      </c>
      <c r="Z3" s="11" t="s">
        <v>455</v>
      </c>
      <c r="AA3" s="10" t="s">
        <v>456</v>
      </c>
      <c r="AB3" s="10" t="s">
        <v>457</v>
      </c>
      <c r="AC3" s="11" t="s">
        <v>458</v>
      </c>
      <c r="AD3" s="30" t="s">
        <v>459</v>
      </c>
      <c r="AE3" s="49" t="s">
        <v>28</v>
      </c>
    </row>
    <row r="4" spans="1:31" x14ac:dyDescent="0.3">
      <c r="A4" s="12"/>
      <c r="B4" s="32">
        <v>2</v>
      </c>
      <c r="C4" s="32" t="s">
        <v>80</v>
      </c>
      <c r="D4" s="5" t="s">
        <v>441</v>
      </c>
      <c r="E4" s="33" t="s">
        <v>83</v>
      </c>
      <c r="F4" s="14" t="s">
        <v>84</v>
      </c>
      <c r="G4" s="33" t="s">
        <v>83</v>
      </c>
      <c r="H4" s="71">
        <v>304012.99979999999</v>
      </c>
      <c r="I4" s="71">
        <v>6807799.9997979999</v>
      </c>
      <c r="J4" s="12"/>
      <c r="K4" s="84" t="s">
        <v>67</v>
      </c>
      <c r="L4" s="34">
        <v>0</v>
      </c>
      <c r="M4" s="34">
        <v>0</v>
      </c>
      <c r="N4" s="34">
        <v>1</v>
      </c>
      <c r="O4" s="36">
        <v>1</v>
      </c>
      <c r="P4" s="12"/>
      <c r="Q4" s="12"/>
      <c r="R4" s="14" t="s">
        <v>9</v>
      </c>
      <c r="S4" s="12" t="s">
        <v>433</v>
      </c>
      <c r="T4" s="84" t="s">
        <v>431</v>
      </c>
      <c r="U4" s="84" t="s">
        <v>78</v>
      </c>
      <c r="V4" s="84">
        <v>2</v>
      </c>
      <c r="W4" s="12"/>
      <c r="X4" s="12">
        <v>1</v>
      </c>
      <c r="Y4" s="12"/>
      <c r="Z4" s="12"/>
      <c r="AA4" s="12"/>
      <c r="AB4" s="12"/>
      <c r="AC4" s="12"/>
      <c r="AD4" s="12">
        <v>1</v>
      </c>
      <c r="AE4" s="12"/>
    </row>
    <row r="5" spans="1:31" x14ac:dyDescent="0.3">
      <c r="A5" s="4"/>
      <c r="B5" s="32">
        <v>2</v>
      </c>
      <c r="C5" s="32" t="s">
        <v>80</v>
      </c>
      <c r="D5" s="5" t="s">
        <v>441</v>
      </c>
      <c r="E5" s="33" t="s">
        <v>451</v>
      </c>
      <c r="F5" s="5" t="s">
        <v>90</v>
      </c>
      <c r="G5" s="33" t="s">
        <v>89</v>
      </c>
      <c r="H5" s="71">
        <v>279751.00020000001</v>
      </c>
      <c r="I5" s="71">
        <v>6794122.0001980001</v>
      </c>
      <c r="J5" s="4"/>
      <c r="K5" s="84" t="s">
        <v>67</v>
      </c>
      <c r="L5" s="34">
        <v>0</v>
      </c>
      <c r="M5" s="34">
        <v>0</v>
      </c>
      <c r="N5" s="34">
        <v>1</v>
      </c>
      <c r="O5" s="36">
        <v>1</v>
      </c>
      <c r="P5" s="4"/>
      <c r="Q5" s="5"/>
      <c r="R5" s="14" t="s">
        <v>9</v>
      </c>
      <c r="S5" s="12" t="s">
        <v>433</v>
      </c>
      <c r="T5" s="84" t="s">
        <v>77</v>
      </c>
      <c r="U5" s="84" t="s">
        <v>78</v>
      </c>
      <c r="V5" s="84">
        <v>1</v>
      </c>
      <c r="W5" s="4"/>
      <c r="X5" s="12">
        <v>1</v>
      </c>
      <c r="Y5" s="4"/>
      <c r="Z5" s="4"/>
      <c r="AA5" s="4"/>
      <c r="AB5" s="4"/>
      <c r="AC5" s="4"/>
      <c r="AD5" s="4"/>
      <c r="AE5" s="4"/>
    </row>
    <row r="6" spans="1:31" x14ac:dyDescent="0.3">
      <c r="A6" s="4"/>
      <c r="B6" s="32">
        <v>2</v>
      </c>
      <c r="C6" s="32" t="s">
        <v>80</v>
      </c>
      <c r="D6" s="5" t="s">
        <v>441</v>
      </c>
      <c r="E6" s="33" t="s">
        <v>91</v>
      </c>
      <c r="F6" s="5" t="s">
        <v>92</v>
      </c>
      <c r="G6" s="33" t="s">
        <v>91</v>
      </c>
      <c r="H6" s="71">
        <v>288694.99979999999</v>
      </c>
      <c r="I6" s="71">
        <v>6835075.0001980001</v>
      </c>
      <c r="J6" s="4"/>
      <c r="K6" s="84" t="s">
        <v>67</v>
      </c>
      <c r="L6" s="34">
        <v>0</v>
      </c>
      <c r="M6" s="34">
        <v>0</v>
      </c>
      <c r="N6" s="34">
        <v>1</v>
      </c>
      <c r="O6" s="36">
        <v>1</v>
      </c>
      <c r="P6" s="4"/>
      <c r="Q6" s="5"/>
      <c r="R6" s="14" t="s">
        <v>9</v>
      </c>
      <c r="S6" s="12" t="s">
        <v>433</v>
      </c>
      <c r="T6" s="84" t="s">
        <v>77</v>
      </c>
      <c r="U6" s="84" t="s">
        <v>78</v>
      </c>
      <c r="V6" s="84">
        <v>1</v>
      </c>
      <c r="W6" s="4"/>
      <c r="X6" s="12">
        <v>1</v>
      </c>
      <c r="Y6" s="4"/>
      <c r="Z6" s="4"/>
      <c r="AA6" s="4"/>
      <c r="AB6" s="4"/>
      <c r="AC6" s="4"/>
      <c r="AD6" s="4"/>
      <c r="AE6" s="4"/>
    </row>
    <row r="7" spans="1:31" x14ac:dyDescent="0.3">
      <c r="A7" s="4"/>
      <c r="B7" s="32">
        <v>2</v>
      </c>
      <c r="C7" s="32" t="s">
        <v>80</v>
      </c>
      <c r="D7" s="5" t="s">
        <v>441</v>
      </c>
      <c r="E7" s="33" t="s">
        <v>105</v>
      </c>
      <c r="F7" s="5" t="s">
        <v>106</v>
      </c>
      <c r="G7" s="33" t="s">
        <v>105</v>
      </c>
      <c r="H7" s="71">
        <v>239799</v>
      </c>
      <c r="I7" s="71">
        <v>6871870.9997979999</v>
      </c>
      <c r="J7" s="4"/>
      <c r="K7" s="84" t="s">
        <v>67</v>
      </c>
      <c r="L7" s="34">
        <v>0</v>
      </c>
      <c r="M7" s="34">
        <v>0</v>
      </c>
      <c r="N7" s="34">
        <v>1</v>
      </c>
      <c r="O7" s="36">
        <v>0</v>
      </c>
      <c r="P7" s="5"/>
      <c r="Q7" s="5"/>
      <c r="R7" s="14" t="s">
        <v>9</v>
      </c>
      <c r="S7" s="12" t="s">
        <v>433</v>
      </c>
      <c r="T7" s="84" t="s">
        <v>431</v>
      </c>
      <c r="U7" s="84" t="s">
        <v>78</v>
      </c>
      <c r="V7" s="84">
        <v>2</v>
      </c>
      <c r="W7" s="4"/>
      <c r="X7" s="12">
        <v>1</v>
      </c>
      <c r="Y7" s="4"/>
      <c r="Z7" s="4"/>
      <c r="AA7" s="4"/>
      <c r="AB7" s="4"/>
      <c r="AC7" s="4"/>
      <c r="AD7" s="4"/>
      <c r="AE7" s="4"/>
    </row>
    <row r="8" spans="1:31" x14ac:dyDescent="0.3">
      <c r="A8" s="4"/>
      <c r="B8" s="32">
        <v>2</v>
      </c>
      <c r="C8" s="32" t="s">
        <v>80</v>
      </c>
      <c r="D8" s="5" t="s">
        <v>441</v>
      </c>
      <c r="E8" s="33" t="s">
        <v>107</v>
      </c>
      <c r="F8" s="5" t="s">
        <v>108</v>
      </c>
      <c r="G8" s="33" t="s">
        <v>107</v>
      </c>
      <c r="H8" s="71">
        <v>311637</v>
      </c>
      <c r="I8" s="71">
        <v>6820003.9997979999</v>
      </c>
      <c r="J8" s="4"/>
      <c r="K8" s="84" t="s">
        <v>67</v>
      </c>
      <c r="L8" s="34">
        <v>0</v>
      </c>
      <c r="M8" s="34">
        <v>0</v>
      </c>
      <c r="N8" s="34">
        <v>1</v>
      </c>
      <c r="O8" s="36">
        <v>1</v>
      </c>
      <c r="P8" s="5"/>
      <c r="Q8" s="5"/>
      <c r="R8" s="14" t="s">
        <v>9</v>
      </c>
      <c r="S8" s="4" t="s">
        <v>433</v>
      </c>
      <c r="T8" s="84" t="s">
        <v>431</v>
      </c>
      <c r="U8" s="84" t="s">
        <v>78</v>
      </c>
      <c r="V8" s="84">
        <v>1</v>
      </c>
      <c r="W8" s="4"/>
      <c r="X8" s="12">
        <v>1</v>
      </c>
      <c r="Y8" s="4"/>
      <c r="Z8" s="4"/>
      <c r="AA8" s="4"/>
      <c r="AB8" s="4"/>
      <c r="AC8" s="4"/>
      <c r="AD8" s="4"/>
      <c r="AE8" s="4"/>
    </row>
    <row r="9" spans="1:31" x14ac:dyDescent="0.3">
      <c r="A9" s="4"/>
      <c r="B9" s="32">
        <v>2</v>
      </c>
      <c r="C9" s="32" t="s">
        <v>80</v>
      </c>
      <c r="D9" s="5" t="s">
        <v>441</v>
      </c>
      <c r="E9" s="33" t="s">
        <v>109</v>
      </c>
      <c r="F9" s="5" t="s">
        <v>110</v>
      </c>
      <c r="G9" s="33" t="s">
        <v>109</v>
      </c>
      <c r="H9" s="71">
        <v>237736.99979999999</v>
      </c>
      <c r="I9" s="71">
        <v>6828364.9997979999</v>
      </c>
      <c r="J9" s="4"/>
      <c r="K9" s="84" t="s">
        <v>67</v>
      </c>
      <c r="L9" s="34">
        <v>0</v>
      </c>
      <c r="M9" s="34">
        <v>0</v>
      </c>
      <c r="N9" s="34">
        <v>1</v>
      </c>
      <c r="O9" s="36">
        <v>0</v>
      </c>
      <c r="P9" s="5"/>
      <c r="Q9" s="5"/>
      <c r="R9" s="14" t="s">
        <v>9</v>
      </c>
      <c r="S9" s="4" t="s">
        <v>433</v>
      </c>
      <c r="T9" s="84" t="s">
        <v>431</v>
      </c>
      <c r="U9" s="84" t="s">
        <v>78</v>
      </c>
      <c r="V9" s="84">
        <v>1</v>
      </c>
      <c r="W9" s="4"/>
      <c r="X9" s="12">
        <v>1</v>
      </c>
      <c r="Y9" s="4"/>
      <c r="Z9" s="4"/>
      <c r="AA9" s="4"/>
      <c r="AB9" s="4"/>
      <c r="AC9" s="4"/>
      <c r="AD9" s="4"/>
      <c r="AE9" s="4"/>
    </row>
    <row r="10" spans="1:31" x14ac:dyDescent="0.3">
      <c r="A10" s="4"/>
      <c r="B10" s="32">
        <v>2</v>
      </c>
      <c r="C10" s="32">
        <v>22</v>
      </c>
      <c r="D10" s="5" t="s">
        <v>441</v>
      </c>
      <c r="E10" s="37" t="s">
        <v>111</v>
      </c>
      <c r="F10" s="5" t="s">
        <v>112</v>
      </c>
      <c r="G10" s="37" t="s">
        <v>111</v>
      </c>
      <c r="H10" s="75">
        <v>272632.00020000001</v>
      </c>
      <c r="I10" s="75">
        <v>6821057.9999980005</v>
      </c>
      <c r="J10" s="4"/>
      <c r="K10" s="84" t="s">
        <v>67</v>
      </c>
      <c r="L10" s="34">
        <v>0</v>
      </c>
      <c r="M10" s="34">
        <v>0</v>
      </c>
      <c r="N10" s="34">
        <v>1</v>
      </c>
      <c r="O10" s="36">
        <v>1</v>
      </c>
      <c r="P10" s="5"/>
      <c r="Q10" s="5"/>
      <c r="R10" s="14" t="s">
        <v>9</v>
      </c>
      <c r="S10" s="12" t="s">
        <v>433</v>
      </c>
      <c r="T10" s="84" t="s">
        <v>431</v>
      </c>
      <c r="U10" s="84" t="s">
        <v>78</v>
      </c>
      <c r="V10" s="84">
        <v>1</v>
      </c>
      <c r="W10" s="4"/>
      <c r="X10" s="12">
        <v>1</v>
      </c>
      <c r="Y10" s="4"/>
      <c r="Z10" s="4"/>
      <c r="AA10" s="4"/>
      <c r="AB10" s="4"/>
      <c r="AC10" s="4"/>
      <c r="AD10" s="4"/>
      <c r="AE10" s="4"/>
    </row>
    <row r="11" spans="1:31" x14ac:dyDescent="0.3">
      <c r="A11" s="4"/>
      <c r="B11" s="32">
        <v>2</v>
      </c>
      <c r="C11" s="32" t="s">
        <v>80</v>
      </c>
      <c r="D11" s="5" t="s">
        <v>441</v>
      </c>
      <c r="E11" s="33" t="s">
        <v>113</v>
      </c>
      <c r="F11" s="5" t="s">
        <v>114</v>
      </c>
      <c r="G11" s="33" t="s">
        <v>113</v>
      </c>
      <c r="H11" s="71">
        <v>290857.99979999999</v>
      </c>
      <c r="I11" s="71">
        <v>6822038.9999980005</v>
      </c>
      <c r="J11" s="4"/>
      <c r="K11" s="84" t="s">
        <v>67</v>
      </c>
      <c r="L11" s="34">
        <v>0</v>
      </c>
      <c r="M11" s="34">
        <v>0</v>
      </c>
      <c r="N11" s="34">
        <v>1</v>
      </c>
      <c r="O11" s="36">
        <v>0</v>
      </c>
      <c r="P11" s="5"/>
      <c r="Q11" s="5"/>
      <c r="R11" s="14" t="s">
        <v>9</v>
      </c>
      <c r="S11" s="12" t="s">
        <v>433</v>
      </c>
      <c r="T11" s="84" t="s">
        <v>431</v>
      </c>
      <c r="U11" s="84" t="s">
        <v>78</v>
      </c>
      <c r="V11" s="84">
        <v>1</v>
      </c>
      <c r="W11" s="4"/>
      <c r="X11" s="12">
        <v>1</v>
      </c>
      <c r="Y11" s="4"/>
      <c r="Z11" s="4"/>
      <c r="AA11" s="4"/>
      <c r="AB11" s="4"/>
      <c r="AC11" s="4"/>
      <c r="AD11" s="4"/>
      <c r="AE11" s="4"/>
    </row>
    <row r="12" spans="1:31" x14ac:dyDescent="0.3">
      <c r="A12" s="4"/>
      <c r="B12" s="32">
        <v>2</v>
      </c>
      <c r="C12" s="32" t="s">
        <v>80</v>
      </c>
      <c r="D12" s="5" t="s">
        <v>441</v>
      </c>
      <c r="E12" s="33" t="s">
        <v>115</v>
      </c>
      <c r="F12" s="5" t="s">
        <v>116</v>
      </c>
      <c r="G12" s="33" t="s">
        <v>115</v>
      </c>
      <c r="H12" s="71">
        <v>247779</v>
      </c>
      <c r="I12" s="71">
        <v>6852400.0001980001</v>
      </c>
      <c r="J12" s="4"/>
      <c r="K12" s="84" t="s">
        <v>67</v>
      </c>
      <c r="L12" s="34">
        <v>0</v>
      </c>
      <c r="M12" s="34">
        <v>0</v>
      </c>
      <c r="N12" s="34">
        <v>1</v>
      </c>
      <c r="O12" s="36">
        <v>0</v>
      </c>
      <c r="P12" s="5"/>
      <c r="Q12" s="5"/>
      <c r="R12" s="14" t="s">
        <v>9</v>
      </c>
      <c r="S12" s="12" t="s">
        <v>433</v>
      </c>
      <c r="T12" s="84" t="s">
        <v>430</v>
      </c>
      <c r="U12" s="54" t="s">
        <v>429</v>
      </c>
      <c r="V12" s="84">
        <v>1</v>
      </c>
      <c r="W12" s="4"/>
      <c r="X12" s="12">
        <v>1</v>
      </c>
      <c r="Y12" s="4"/>
      <c r="Z12" s="4"/>
      <c r="AA12" s="4"/>
      <c r="AB12" s="4"/>
      <c r="AC12" s="4"/>
      <c r="AD12" s="4"/>
      <c r="AE12" s="4"/>
    </row>
    <row r="13" spans="1:31" x14ac:dyDescent="0.3">
      <c r="A13" s="4"/>
      <c r="B13" s="32">
        <v>2</v>
      </c>
      <c r="C13" s="32" t="s">
        <v>80</v>
      </c>
      <c r="D13" s="5" t="s">
        <v>441</v>
      </c>
      <c r="E13" s="33" t="s">
        <v>117</v>
      </c>
      <c r="F13" s="5" t="s">
        <v>118</v>
      </c>
      <c r="G13" s="33" t="s">
        <v>117</v>
      </c>
      <c r="H13" s="71">
        <v>254179.00020000001</v>
      </c>
      <c r="I13" s="71">
        <v>6861518.9999980005</v>
      </c>
      <c r="J13" s="4"/>
      <c r="K13" s="84" t="s">
        <v>67</v>
      </c>
      <c r="L13" s="34">
        <v>0</v>
      </c>
      <c r="M13" s="34">
        <v>0</v>
      </c>
      <c r="N13" s="34">
        <v>1</v>
      </c>
      <c r="O13" s="36">
        <v>0</v>
      </c>
      <c r="P13" s="5"/>
      <c r="Q13" s="5"/>
      <c r="R13" s="14" t="s">
        <v>9</v>
      </c>
      <c r="S13" s="12" t="s">
        <v>433</v>
      </c>
      <c r="T13" s="84" t="s">
        <v>430</v>
      </c>
      <c r="U13" s="54" t="s">
        <v>429</v>
      </c>
      <c r="V13" s="84">
        <v>1</v>
      </c>
      <c r="W13" s="4"/>
      <c r="X13" s="12">
        <v>1</v>
      </c>
      <c r="Y13" s="4"/>
      <c r="Z13" s="4"/>
      <c r="AA13" s="4"/>
      <c r="AB13" s="4"/>
      <c r="AC13" s="4"/>
      <c r="AD13" s="4"/>
      <c r="AE13" s="4"/>
    </row>
    <row r="14" spans="1:31" x14ac:dyDescent="0.3">
      <c r="A14" s="4"/>
      <c r="B14" s="32">
        <v>2</v>
      </c>
      <c r="C14" s="32" t="s">
        <v>119</v>
      </c>
      <c r="D14" s="5" t="s">
        <v>441</v>
      </c>
      <c r="E14" s="33" t="s">
        <v>128</v>
      </c>
      <c r="F14" s="5" t="s">
        <v>129</v>
      </c>
      <c r="G14" s="33" t="s">
        <v>128</v>
      </c>
      <c r="H14" s="71">
        <v>167640</v>
      </c>
      <c r="I14" s="71">
        <v>6843748.0001980001</v>
      </c>
      <c r="J14" s="4"/>
      <c r="K14" s="84" t="s">
        <v>67</v>
      </c>
      <c r="L14" s="34">
        <v>0</v>
      </c>
      <c r="M14" s="34">
        <v>0</v>
      </c>
      <c r="N14" s="34">
        <v>1</v>
      </c>
      <c r="O14" s="35">
        <v>0</v>
      </c>
      <c r="P14" s="5"/>
      <c r="Q14" s="5"/>
      <c r="R14" s="14" t="s">
        <v>9</v>
      </c>
      <c r="S14" s="12" t="s">
        <v>433</v>
      </c>
      <c r="T14" s="84" t="s">
        <v>77</v>
      </c>
      <c r="U14" s="84" t="s">
        <v>78</v>
      </c>
      <c r="V14" s="84">
        <v>1</v>
      </c>
      <c r="W14" s="12"/>
      <c r="X14" s="12">
        <v>1</v>
      </c>
      <c r="Y14" s="4"/>
      <c r="Z14" s="77"/>
      <c r="AA14" s="4"/>
      <c r="AB14" s="4"/>
      <c r="AC14" s="4"/>
      <c r="AD14" s="4"/>
      <c r="AE14" s="4"/>
    </row>
    <row r="15" spans="1:31" x14ac:dyDescent="0.3">
      <c r="A15" s="4"/>
      <c r="B15" s="32">
        <v>2</v>
      </c>
      <c r="C15" s="32" t="s">
        <v>119</v>
      </c>
      <c r="D15" s="5" t="s">
        <v>441</v>
      </c>
      <c r="E15" s="33" t="s">
        <v>138</v>
      </c>
      <c r="F15" s="79" t="s">
        <v>443</v>
      </c>
      <c r="G15" s="33" t="s">
        <v>138</v>
      </c>
      <c r="H15" s="71">
        <v>196193.57529400001</v>
      </c>
      <c r="I15" s="71">
        <v>6777924.6115680002</v>
      </c>
      <c r="J15" s="4"/>
      <c r="K15" s="84" t="s">
        <v>67</v>
      </c>
      <c r="L15" s="34">
        <v>0</v>
      </c>
      <c r="M15" s="34">
        <v>0</v>
      </c>
      <c r="N15" s="34">
        <v>1</v>
      </c>
      <c r="O15" s="36">
        <v>1</v>
      </c>
      <c r="P15" s="5"/>
      <c r="Q15" s="5"/>
      <c r="R15" s="14" t="s">
        <v>9</v>
      </c>
      <c r="S15" s="12" t="s">
        <v>433</v>
      </c>
      <c r="T15" s="84" t="s">
        <v>431</v>
      </c>
      <c r="U15" s="84" t="s">
        <v>78</v>
      </c>
      <c r="V15" s="84">
        <v>2</v>
      </c>
      <c r="W15" s="4"/>
      <c r="X15" s="12">
        <v>1</v>
      </c>
      <c r="Y15" s="4"/>
      <c r="Z15" s="4"/>
      <c r="AA15" s="4"/>
      <c r="AB15" s="4"/>
      <c r="AC15" s="4"/>
      <c r="AD15" s="4"/>
      <c r="AE15" s="4"/>
    </row>
    <row r="16" spans="1:31" x14ac:dyDescent="0.3">
      <c r="A16" s="4"/>
      <c r="B16" s="32">
        <v>2</v>
      </c>
      <c r="C16" s="32" t="s">
        <v>119</v>
      </c>
      <c r="D16" s="5" t="s">
        <v>441</v>
      </c>
      <c r="E16" s="33" t="s">
        <v>157</v>
      </c>
      <c r="F16" s="5" t="s">
        <v>158</v>
      </c>
      <c r="G16" s="33" t="s">
        <v>157</v>
      </c>
      <c r="H16" s="71">
        <v>160014</v>
      </c>
      <c r="I16" s="71">
        <v>6799853.9999980005</v>
      </c>
      <c r="J16" s="4"/>
      <c r="K16" s="84" t="s">
        <v>67</v>
      </c>
      <c r="L16" s="34">
        <v>0</v>
      </c>
      <c r="M16" s="34">
        <v>0</v>
      </c>
      <c r="N16" s="34">
        <v>1</v>
      </c>
      <c r="O16" s="36">
        <v>1</v>
      </c>
      <c r="P16" s="5"/>
      <c r="Q16" s="5"/>
      <c r="R16" s="14" t="s">
        <v>9</v>
      </c>
      <c r="S16" s="12" t="s">
        <v>433</v>
      </c>
      <c r="T16" s="84" t="s">
        <v>431</v>
      </c>
      <c r="U16" s="84" t="s">
        <v>78</v>
      </c>
      <c r="V16" s="84">
        <v>2</v>
      </c>
      <c r="W16" s="4"/>
      <c r="X16" s="12">
        <v>1</v>
      </c>
      <c r="Y16" s="4"/>
      <c r="Z16" s="4"/>
      <c r="AA16" s="4"/>
      <c r="AB16" s="4"/>
      <c r="AC16" s="4"/>
      <c r="AD16" s="4"/>
      <c r="AE16" s="4"/>
    </row>
    <row r="17" spans="1:31" x14ac:dyDescent="0.3">
      <c r="A17" s="4"/>
      <c r="B17" s="32">
        <v>2</v>
      </c>
      <c r="C17" s="32" t="s">
        <v>119</v>
      </c>
      <c r="D17" s="5" t="s">
        <v>441</v>
      </c>
      <c r="E17" s="33" t="s">
        <v>159</v>
      </c>
      <c r="F17" s="5" t="s">
        <v>160</v>
      </c>
      <c r="G17" s="33" t="s">
        <v>159</v>
      </c>
      <c r="H17" s="71">
        <v>177393.38329200001</v>
      </c>
      <c r="I17" s="71">
        <v>6793354.1696589999</v>
      </c>
      <c r="J17" s="4"/>
      <c r="K17" s="84" t="s">
        <v>67</v>
      </c>
      <c r="L17" s="34">
        <v>0</v>
      </c>
      <c r="M17" s="34">
        <v>0</v>
      </c>
      <c r="N17" s="34">
        <v>1</v>
      </c>
      <c r="O17" s="36">
        <v>0</v>
      </c>
      <c r="P17" s="5"/>
      <c r="Q17" s="5"/>
      <c r="R17" s="14" t="s">
        <v>9</v>
      </c>
      <c r="S17" s="12" t="s">
        <v>433</v>
      </c>
      <c r="T17" s="84" t="s">
        <v>430</v>
      </c>
      <c r="U17" s="84" t="s">
        <v>78</v>
      </c>
      <c r="V17" s="84">
        <v>1</v>
      </c>
      <c r="W17" s="4"/>
      <c r="X17" s="12">
        <v>1</v>
      </c>
      <c r="Y17" s="4"/>
      <c r="Z17" s="4"/>
      <c r="AA17" s="4"/>
      <c r="AB17" s="4"/>
      <c r="AC17" s="4"/>
      <c r="AD17" s="4"/>
      <c r="AE17" s="4"/>
    </row>
    <row r="18" spans="1:31" x14ac:dyDescent="0.3">
      <c r="A18" s="4"/>
      <c r="B18" s="32">
        <v>2</v>
      </c>
      <c r="C18" s="32">
        <v>29</v>
      </c>
      <c r="D18" s="5" t="s">
        <v>441</v>
      </c>
      <c r="E18" s="33" t="s">
        <v>161</v>
      </c>
      <c r="F18" s="5" t="s">
        <v>162</v>
      </c>
      <c r="G18" s="33" t="s">
        <v>161</v>
      </c>
      <c r="H18" s="71">
        <v>218544</v>
      </c>
      <c r="I18" s="71">
        <v>6777572.9999980005</v>
      </c>
      <c r="J18" s="4"/>
      <c r="K18" s="84" t="s">
        <v>67</v>
      </c>
      <c r="L18" s="34">
        <v>0</v>
      </c>
      <c r="M18" s="34">
        <v>0</v>
      </c>
      <c r="N18" s="34">
        <v>1</v>
      </c>
      <c r="O18" s="36">
        <v>1</v>
      </c>
      <c r="P18" s="5"/>
      <c r="Q18" s="5"/>
      <c r="R18" s="14" t="s">
        <v>9</v>
      </c>
      <c r="S18" s="12" t="s">
        <v>433</v>
      </c>
      <c r="T18" s="84" t="s">
        <v>430</v>
      </c>
      <c r="U18" s="84" t="s">
        <v>78</v>
      </c>
      <c r="V18" s="84">
        <v>1</v>
      </c>
      <c r="W18" s="4"/>
      <c r="X18" s="12">
        <v>1</v>
      </c>
      <c r="Y18" s="4"/>
      <c r="Z18" s="4"/>
      <c r="AA18" s="4"/>
      <c r="AB18" s="4"/>
      <c r="AC18" s="4"/>
      <c r="AD18" s="4"/>
      <c r="AE18" s="4"/>
    </row>
    <row r="19" spans="1:31" x14ac:dyDescent="0.3">
      <c r="A19" s="4"/>
      <c r="B19" s="32">
        <v>2</v>
      </c>
      <c r="C19" s="32" t="s">
        <v>119</v>
      </c>
      <c r="D19" s="5" t="s">
        <v>441</v>
      </c>
      <c r="E19" s="33" t="s">
        <v>163</v>
      </c>
      <c r="F19" s="5" t="s">
        <v>164</v>
      </c>
      <c r="G19" s="33" t="s">
        <v>163</v>
      </c>
      <c r="H19" s="71">
        <v>154149.17757100001</v>
      </c>
      <c r="I19" s="71">
        <v>6850543.1818639999</v>
      </c>
      <c r="J19" s="4"/>
      <c r="K19" s="84" t="s">
        <v>67</v>
      </c>
      <c r="L19" s="34">
        <v>0</v>
      </c>
      <c r="M19" s="34">
        <v>0</v>
      </c>
      <c r="N19" s="34">
        <v>1</v>
      </c>
      <c r="O19" s="36">
        <v>0</v>
      </c>
      <c r="P19" s="5"/>
      <c r="Q19" s="5"/>
      <c r="R19" s="14" t="s">
        <v>9</v>
      </c>
      <c r="S19" s="12" t="s">
        <v>433</v>
      </c>
      <c r="T19" s="84" t="s">
        <v>431</v>
      </c>
      <c r="U19" s="84" t="s">
        <v>78</v>
      </c>
      <c r="V19" s="84">
        <v>2</v>
      </c>
      <c r="W19" s="4"/>
      <c r="X19" s="12">
        <v>1</v>
      </c>
      <c r="Y19" s="4"/>
      <c r="Z19" s="4"/>
      <c r="AA19" s="4"/>
      <c r="AB19" s="4"/>
      <c r="AC19" s="4"/>
      <c r="AD19" s="4"/>
      <c r="AE19" s="4"/>
    </row>
    <row r="20" spans="1:31" x14ac:dyDescent="0.3">
      <c r="A20" s="4"/>
      <c r="B20" s="32">
        <v>2</v>
      </c>
      <c r="C20" s="32" t="s">
        <v>119</v>
      </c>
      <c r="D20" s="5" t="s">
        <v>441</v>
      </c>
      <c r="E20" s="33" t="s">
        <v>165</v>
      </c>
      <c r="F20" s="5" t="s">
        <v>166</v>
      </c>
      <c r="G20" s="33" t="s">
        <v>165</v>
      </c>
      <c r="H20" s="71">
        <v>201528</v>
      </c>
      <c r="I20" s="71">
        <v>6855709.9997979999</v>
      </c>
      <c r="J20" s="4"/>
      <c r="K20" s="84" t="s">
        <v>67</v>
      </c>
      <c r="L20" s="34">
        <v>0</v>
      </c>
      <c r="M20" s="34">
        <v>0</v>
      </c>
      <c r="N20" s="34">
        <v>1</v>
      </c>
      <c r="O20" s="36">
        <v>0</v>
      </c>
      <c r="P20" s="5"/>
      <c r="Q20" s="5"/>
      <c r="R20" s="14" t="s">
        <v>9</v>
      </c>
      <c r="S20" s="12" t="s">
        <v>433</v>
      </c>
      <c r="T20" s="84" t="s">
        <v>431</v>
      </c>
      <c r="U20" s="84" t="s">
        <v>78</v>
      </c>
      <c r="V20" s="84">
        <v>2</v>
      </c>
      <c r="W20" s="4"/>
      <c r="X20" s="12">
        <v>1</v>
      </c>
      <c r="Y20" s="4"/>
      <c r="Z20" s="4"/>
      <c r="AA20" s="4"/>
      <c r="AB20" s="4"/>
      <c r="AC20" s="4"/>
      <c r="AD20" s="4"/>
      <c r="AE20" s="4"/>
    </row>
    <row r="21" spans="1:31" x14ac:dyDescent="0.3">
      <c r="A21" s="4"/>
      <c r="B21" s="32">
        <v>2</v>
      </c>
      <c r="C21" s="32" t="s">
        <v>119</v>
      </c>
      <c r="D21" s="5" t="s">
        <v>441</v>
      </c>
      <c r="E21" s="33" t="s">
        <v>167</v>
      </c>
      <c r="F21" s="5" t="s">
        <v>168</v>
      </c>
      <c r="G21" s="33" t="s">
        <v>167</v>
      </c>
      <c r="H21" s="71">
        <v>196108.00020000001</v>
      </c>
      <c r="I21" s="71">
        <v>6850006.0001980001</v>
      </c>
      <c r="J21" s="4"/>
      <c r="K21" s="84" t="s">
        <v>67</v>
      </c>
      <c r="L21" s="34">
        <v>0</v>
      </c>
      <c r="M21" s="34">
        <v>0</v>
      </c>
      <c r="N21" s="34">
        <v>1</v>
      </c>
      <c r="O21" s="36">
        <v>0</v>
      </c>
      <c r="P21" s="5"/>
      <c r="Q21" s="5"/>
      <c r="R21" s="14" t="s">
        <v>9</v>
      </c>
      <c r="S21" s="12" t="s">
        <v>433</v>
      </c>
      <c r="T21" s="84" t="s">
        <v>431</v>
      </c>
      <c r="U21" s="84" t="s">
        <v>78</v>
      </c>
      <c r="V21" s="84">
        <v>2</v>
      </c>
      <c r="W21" s="4"/>
      <c r="X21" s="12">
        <v>1</v>
      </c>
      <c r="Y21" s="4"/>
      <c r="Z21" s="4"/>
      <c r="AA21" s="4"/>
      <c r="AB21" s="4"/>
      <c r="AC21" s="4"/>
      <c r="AD21" s="4"/>
      <c r="AE21" s="4"/>
    </row>
    <row r="22" spans="1:31" x14ac:dyDescent="0.3">
      <c r="A22" s="4"/>
      <c r="B22" s="32">
        <v>2</v>
      </c>
      <c r="C22" s="32" t="s">
        <v>119</v>
      </c>
      <c r="D22" s="5" t="s">
        <v>441</v>
      </c>
      <c r="E22" s="33" t="s">
        <v>169</v>
      </c>
      <c r="F22" s="5" t="s">
        <v>170</v>
      </c>
      <c r="G22" s="33" t="s">
        <v>169</v>
      </c>
      <c r="H22" s="71">
        <v>179086.00020000001</v>
      </c>
      <c r="I22" s="71">
        <v>6858373.0001980001</v>
      </c>
      <c r="J22" s="4"/>
      <c r="K22" s="84" t="s">
        <v>67</v>
      </c>
      <c r="L22" s="34">
        <v>0</v>
      </c>
      <c r="M22" s="34">
        <v>0</v>
      </c>
      <c r="N22" s="34">
        <v>1</v>
      </c>
      <c r="O22" s="36">
        <v>0</v>
      </c>
      <c r="P22" s="5"/>
      <c r="Q22" s="5"/>
      <c r="R22" s="14" t="s">
        <v>9</v>
      </c>
      <c r="S22" s="12" t="s">
        <v>433</v>
      </c>
      <c r="T22" s="84" t="s">
        <v>431</v>
      </c>
      <c r="U22" s="84" t="s">
        <v>78</v>
      </c>
      <c r="V22" s="84">
        <v>2</v>
      </c>
      <c r="W22" s="4"/>
      <c r="X22" s="12">
        <v>1</v>
      </c>
      <c r="Y22" s="4"/>
      <c r="Z22" s="4"/>
      <c r="AA22" s="4"/>
      <c r="AB22" s="4"/>
      <c r="AC22" s="4"/>
      <c r="AD22" s="4"/>
      <c r="AE22" s="4"/>
    </row>
    <row r="23" spans="1:31" x14ac:dyDescent="0.3">
      <c r="A23" s="4"/>
      <c r="B23" s="32">
        <v>2</v>
      </c>
      <c r="C23" s="32" t="s">
        <v>119</v>
      </c>
      <c r="D23" s="5" t="s">
        <v>441</v>
      </c>
      <c r="E23" s="37" t="s">
        <v>171</v>
      </c>
      <c r="F23" s="5" t="s">
        <v>172</v>
      </c>
      <c r="G23" s="37" t="s">
        <v>171</v>
      </c>
      <c r="H23" s="72">
        <v>202660.00020000001</v>
      </c>
      <c r="I23" s="72">
        <v>6814156.9997979999</v>
      </c>
      <c r="J23" s="4"/>
      <c r="K23" s="84" t="s">
        <v>67</v>
      </c>
      <c r="L23" s="34">
        <v>0</v>
      </c>
      <c r="M23" s="34">
        <v>0</v>
      </c>
      <c r="N23" s="34">
        <v>1</v>
      </c>
      <c r="O23" s="36">
        <v>0</v>
      </c>
      <c r="P23" s="5"/>
      <c r="Q23" s="5"/>
      <c r="R23" s="14" t="s">
        <v>9</v>
      </c>
      <c r="S23" s="12" t="s">
        <v>433</v>
      </c>
      <c r="T23" s="84" t="s">
        <v>430</v>
      </c>
      <c r="U23" s="54" t="s">
        <v>429</v>
      </c>
      <c r="V23" s="84">
        <v>1</v>
      </c>
      <c r="W23" s="4"/>
      <c r="X23" s="12">
        <v>1</v>
      </c>
      <c r="Y23" s="4"/>
      <c r="Z23" s="4"/>
      <c r="AA23" s="4"/>
      <c r="AB23" s="4"/>
      <c r="AC23" s="4"/>
      <c r="AD23" s="4"/>
      <c r="AE23" s="4"/>
    </row>
    <row r="24" spans="1:31" x14ac:dyDescent="0.3">
      <c r="A24" s="4"/>
      <c r="B24" s="32">
        <v>2</v>
      </c>
      <c r="C24" s="32" t="s">
        <v>173</v>
      </c>
      <c r="D24" s="5" t="s">
        <v>441</v>
      </c>
      <c r="E24" s="33" t="s">
        <v>176</v>
      </c>
      <c r="F24" s="5" t="s">
        <v>177</v>
      </c>
      <c r="G24" s="33" t="s">
        <v>176</v>
      </c>
      <c r="H24" s="71">
        <v>391672.99979999999</v>
      </c>
      <c r="I24" s="71">
        <v>6822217.9997979999</v>
      </c>
      <c r="J24" s="4"/>
      <c r="K24" s="84" t="s">
        <v>67</v>
      </c>
      <c r="L24" s="34">
        <v>0</v>
      </c>
      <c r="M24" s="34">
        <v>0</v>
      </c>
      <c r="N24" s="34">
        <v>1</v>
      </c>
      <c r="O24" s="36">
        <v>0</v>
      </c>
      <c r="P24" s="5"/>
      <c r="Q24" s="5"/>
      <c r="R24" s="14" t="s">
        <v>9</v>
      </c>
      <c r="S24" s="12" t="s">
        <v>433</v>
      </c>
      <c r="T24" s="84" t="s">
        <v>431</v>
      </c>
      <c r="U24" s="84" t="s">
        <v>78</v>
      </c>
      <c r="V24" s="84">
        <v>1</v>
      </c>
      <c r="W24" s="4"/>
      <c r="X24" s="12">
        <v>1</v>
      </c>
      <c r="Y24" s="4"/>
      <c r="Z24" s="4"/>
      <c r="AA24" s="4"/>
      <c r="AB24" s="4"/>
      <c r="AC24" s="4"/>
      <c r="AD24" s="4"/>
      <c r="AE24" s="4"/>
    </row>
    <row r="25" spans="1:31" x14ac:dyDescent="0.3">
      <c r="A25" s="4"/>
      <c r="B25" s="32">
        <v>2</v>
      </c>
      <c r="C25" s="32" t="s">
        <v>173</v>
      </c>
      <c r="D25" s="5" t="s">
        <v>441</v>
      </c>
      <c r="E25" s="33" t="s">
        <v>178</v>
      </c>
      <c r="F25" s="5" t="s">
        <v>179</v>
      </c>
      <c r="G25" s="33" t="s">
        <v>178</v>
      </c>
      <c r="H25" s="71">
        <v>392949</v>
      </c>
      <c r="I25" s="71">
        <v>6803368.9997979999</v>
      </c>
      <c r="J25" s="4"/>
      <c r="K25" s="84" t="s">
        <v>67</v>
      </c>
      <c r="L25" s="34">
        <v>0</v>
      </c>
      <c r="M25" s="34">
        <v>0</v>
      </c>
      <c r="N25" s="34">
        <v>1</v>
      </c>
      <c r="O25" s="36">
        <v>1</v>
      </c>
      <c r="P25" s="5"/>
      <c r="Q25" s="5"/>
      <c r="R25" s="14" t="s">
        <v>9</v>
      </c>
      <c r="S25" s="4" t="s">
        <v>433</v>
      </c>
      <c r="T25" s="84" t="s">
        <v>431</v>
      </c>
      <c r="U25" s="84" t="s">
        <v>78</v>
      </c>
      <c r="V25" s="84">
        <v>1</v>
      </c>
      <c r="W25" s="4"/>
      <c r="X25" s="12">
        <v>1</v>
      </c>
      <c r="Y25" s="4"/>
      <c r="Z25" s="4"/>
      <c r="AA25" s="4"/>
      <c r="AB25" s="4"/>
      <c r="AC25" s="4"/>
      <c r="AD25" s="4"/>
      <c r="AE25" s="4"/>
    </row>
    <row r="26" spans="1:31" x14ac:dyDescent="0.3">
      <c r="A26" s="4"/>
      <c r="B26" s="32">
        <v>2</v>
      </c>
      <c r="C26" s="32" t="s">
        <v>173</v>
      </c>
      <c r="D26" s="5" t="s">
        <v>441</v>
      </c>
      <c r="E26" s="33" t="s">
        <v>184</v>
      </c>
      <c r="F26" s="5" t="s">
        <v>185</v>
      </c>
      <c r="G26" s="33" t="s">
        <v>184</v>
      </c>
      <c r="H26" s="71">
        <v>353286</v>
      </c>
      <c r="I26" s="71">
        <v>6813196.9997979999</v>
      </c>
      <c r="J26" s="4"/>
      <c r="K26" s="84" t="s">
        <v>67</v>
      </c>
      <c r="L26" s="34">
        <v>0</v>
      </c>
      <c r="M26" s="34">
        <v>0</v>
      </c>
      <c r="N26" s="34">
        <v>1</v>
      </c>
      <c r="O26" s="36">
        <v>1</v>
      </c>
      <c r="P26" s="5"/>
      <c r="Q26" s="5"/>
      <c r="R26" s="14" t="s">
        <v>9</v>
      </c>
      <c r="S26" s="14" t="s">
        <v>434</v>
      </c>
      <c r="T26" s="84" t="s">
        <v>431</v>
      </c>
      <c r="U26" s="84" t="s">
        <v>78</v>
      </c>
      <c r="V26" s="84">
        <v>1</v>
      </c>
      <c r="W26" s="4"/>
      <c r="X26" s="12">
        <v>1</v>
      </c>
      <c r="Y26" s="4"/>
      <c r="Z26" s="4"/>
      <c r="AA26" s="4"/>
      <c r="AB26" s="4"/>
      <c r="AC26" s="4"/>
      <c r="AD26" s="4"/>
      <c r="AE26" s="4"/>
    </row>
    <row r="27" spans="1:31" x14ac:dyDescent="0.3">
      <c r="A27" s="4"/>
      <c r="B27" s="32">
        <v>2</v>
      </c>
      <c r="C27" s="32" t="s">
        <v>173</v>
      </c>
      <c r="D27" s="5" t="s">
        <v>441</v>
      </c>
      <c r="E27" s="33" t="s">
        <v>206</v>
      </c>
      <c r="F27" s="5" t="s">
        <v>207</v>
      </c>
      <c r="G27" s="33" t="s">
        <v>206</v>
      </c>
      <c r="H27" s="71">
        <v>367212</v>
      </c>
      <c r="I27" s="71">
        <v>6803917.9997979999</v>
      </c>
      <c r="J27" s="4"/>
      <c r="K27" s="84" t="s">
        <v>67</v>
      </c>
      <c r="L27" s="34">
        <v>0</v>
      </c>
      <c r="M27" s="34">
        <v>0</v>
      </c>
      <c r="N27" s="34">
        <v>1</v>
      </c>
      <c r="O27" s="36">
        <v>1</v>
      </c>
      <c r="P27" s="5"/>
      <c r="Q27" s="5"/>
      <c r="R27" s="14" t="s">
        <v>9</v>
      </c>
      <c r="S27" s="4" t="s">
        <v>434</v>
      </c>
      <c r="T27" s="84" t="s">
        <v>431</v>
      </c>
      <c r="U27" s="84" t="s">
        <v>78</v>
      </c>
      <c r="V27" s="84">
        <v>1</v>
      </c>
      <c r="W27" s="4"/>
      <c r="X27" s="12">
        <v>1</v>
      </c>
      <c r="Y27" s="4"/>
      <c r="Z27" s="4"/>
      <c r="AA27" s="4"/>
      <c r="AB27" s="4"/>
      <c r="AC27" s="4"/>
      <c r="AD27" s="4"/>
      <c r="AE27" s="4"/>
    </row>
    <row r="28" spans="1:31" x14ac:dyDescent="0.3">
      <c r="A28" s="4"/>
      <c r="B28" s="32">
        <v>2</v>
      </c>
      <c r="C28" s="32" t="s">
        <v>173</v>
      </c>
      <c r="D28" s="5" t="s">
        <v>441</v>
      </c>
      <c r="E28" s="33" t="s">
        <v>208</v>
      </c>
      <c r="F28" s="5" t="s">
        <v>209</v>
      </c>
      <c r="G28" s="33" t="s">
        <v>208</v>
      </c>
      <c r="H28" s="71">
        <v>336219.13566700002</v>
      </c>
      <c r="I28" s="71">
        <v>6773070.7670740001</v>
      </c>
      <c r="J28" s="4"/>
      <c r="K28" s="84" t="s">
        <v>67</v>
      </c>
      <c r="L28" s="34">
        <v>0</v>
      </c>
      <c r="M28" s="34">
        <v>0</v>
      </c>
      <c r="N28" s="34">
        <v>1</v>
      </c>
      <c r="O28" s="36">
        <v>1</v>
      </c>
      <c r="P28" s="5"/>
      <c r="Q28" s="5"/>
      <c r="R28" s="14" t="s">
        <v>9</v>
      </c>
      <c r="S28" s="4" t="s">
        <v>434</v>
      </c>
      <c r="T28" s="84" t="s">
        <v>431</v>
      </c>
      <c r="U28" s="84" t="s">
        <v>78</v>
      </c>
      <c r="V28" s="84">
        <v>2</v>
      </c>
      <c r="W28" s="4"/>
      <c r="X28" s="12">
        <v>1</v>
      </c>
      <c r="Y28" s="4"/>
      <c r="Z28" s="4"/>
      <c r="AA28" s="4"/>
      <c r="AB28" s="4"/>
      <c r="AC28" s="4"/>
      <c r="AD28" s="4"/>
      <c r="AE28" s="4"/>
    </row>
    <row r="29" spans="1:31" x14ac:dyDescent="0.3">
      <c r="A29" s="4"/>
      <c r="B29" s="32">
        <v>2</v>
      </c>
      <c r="C29" s="32" t="s">
        <v>173</v>
      </c>
      <c r="D29" s="5" t="s">
        <v>441</v>
      </c>
      <c r="E29" s="33" t="s">
        <v>210</v>
      </c>
      <c r="F29" s="5" t="s">
        <v>211</v>
      </c>
      <c r="G29" s="33" t="s">
        <v>210</v>
      </c>
      <c r="H29" s="71">
        <v>348346.99979999999</v>
      </c>
      <c r="I29" s="71">
        <v>6746135.9999980005</v>
      </c>
      <c r="J29" s="4"/>
      <c r="K29" s="84" t="s">
        <v>67</v>
      </c>
      <c r="L29" s="34">
        <v>0</v>
      </c>
      <c r="M29" s="34">
        <v>0</v>
      </c>
      <c r="N29" s="34">
        <v>1</v>
      </c>
      <c r="O29" s="36">
        <v>1</v>
      </c>
      <c r="P29" s="5"/>
      <c r="Q29" s="5"/>
      <c r="R29" s="14" t="s">
        <v>9</v>
      </c>
      <c r="S29" s="4" t="s">
        <v>434</v>
      </c>
      <c r="T29" s="84" t="s">
        <v>431</v>
      </c>
      <c r="U29" s="84" t="s">
        <v>78</v>
      </c>
      <c r="V29" s="84">
        <v>2</v>
      </c>
      <c r="W29" s="4"/>
      <c r="X29" s="12">
        <v>1</v>
      </c>
      <c r="Y29" s="4"/>
      <c r="Z29" s="4"/>
      <c r="AA29" s="4"/>
      <c r="AB29" s="4"/>
      <c r="AC29" s="4"/>
      <c r="AD29" s="4"/>
      <c r="AE29" s="4"/>
    </row>
    <row r="30" spans="1:31" x14ac:dyDescent="0.3">
      <c r="A30" s="4"/>
      <c r="B30" s="32">
        <v>2</v>
      </c>
      <c r="C30" s="32" t="s">
        <v>173</v>
      </c>
      <c r="D30" s="5" t="s">
        <v>441</v>
      </c>
      <c r="E30" s="33" t="s">
        <v>212</v>
      </c>
      <c r="F30" s="5" t="s">
        <v>213</v>
      </c>
      <c r="G30" s="33" t="s">
        <v>212</v>
      </c>
      <c r="H30" s="71">
        <v>338944.00020000001</v>
      </c>
      <c r="I30" s="71">
        <v>6785300.9999980005</v>
      </c>
      <c r="J30" s="4"/>
      <c r="K30" s="84" t="s">
        <v>67</v>
      </c>
      <c r="L30" s="34">
        <v>0</v>
      </c>
      <c r="M30" s="34">
        <v>0</v>
      </c>
      <c r="N30" s="34">
        <v>1</v>
      </c>
      <c r="O30" s="36">
        <v>1</v>
      </c>
      <c r="P30" s="5"/>
      <c r="Q30" s="5"/>
      <c r="R30" s="14" t="s">
        <v>9</v>
      </c>
      <c r="S30" s="12" t="s">
        <v>433</v>
      </c>
      <c r="T30" s="84" t="s">
        <v>77</v>
      </c>
      <c r="U30" s="84" t="s">
        <v>79</v>
      </c>
      <c r="V30" s="84">
        <v>1</v>
      </c>
      <c r="W30" s="4"/>
      <c r="X30" s="12">
        <v>1</v>
      </c>
      <c r="Y30" s="4"/>
      <c r="Z30" s="4"/>
      <c r="AA30" s="4"/>
      <c r="AB30" s="4"/>
      <c r="AC30" s="4"/>
      <c r="AD30" s="4"/>
      <c r="AE30" s="4"/>
    </row>
    <row r="31" spans="1:31" x14ac:dyDescent="0.3">
      <c r="A31" s="4"/>
      <c r="B31" s="32">
        <v>2</v>
      </c>
      <c r="C31" s="32" t="s">
        <v>214</v>
      </c>
      <c r="D31" s="14" t="s">
        <v>449</v>
      </c>
      <c r="E31" s="33" t="s">
        <v>239</v>
      </c>
      <c r="F31" s="5" t="s">
        <v>240</v>
      </c>
      <c r="G31" s="33" t="s">
        <v>239</v>
      </c>
      <c r="H31" s="71">
        <v>313737</v>
      </c>
      <c r="I31" s="71">
        <v>6733408.0001980001</v>
      </c>
      <c r="J31" s="4"/>
      <c r="K31" s="36" t="s">
        <v>428</v>
      </c>
      <c r="L31" s="34">
        <v>0</v>
      </c>
      <c r="M31" s="34">
        <v>0</v>
      </c>
      <c r="N31" s="34">
        <v>1</v>
      </c>
      <c r="O31" s="36">
        <v>0</v>
      </c>
      <c r="P31" s="5"/>
      <c r="Q31" s="5"/>
      <c r="R31" s="14" t="s">
        <v>447</v>
      </c>
      <c r="S31" s="14" t="s">
        <v>434</v>
      </c>
      <c r="T31" s="84" t="s">
        <v>77</v>
      </c>
      <c r="U31" s="84" t="s">
        <v>79</v>
      </c>
      <c r="V31" s="84">
        <v>1</v>
      </c>
      <c r="W31" s="12">
        <v>1</v>
      </c>
      <c r="X31" s="12">
        <v>1</v>
      </c>
      <c r="Y31" s="4"/>
      <c r="Z31" s="4"/>
      <c r="AA31" s="4"/>
      <c r="AB31" s="4"/>
      <c r="AC31" s="4"/>
      <c r="AD31" s="4"/>
      <c r="AE31" s="4" t="s">
        <v>438</v>
      </c>
    </row>
    <row r="32" spans="1:31" x14ac:dyDescent="0.3">
      <c r="A32" s="4"/>
      <c r="B32" s="32">
        <v>2</v>
      </c>
      <c r="C32" s="32" t="s">
        <v>214</v>
      </c>
      <c r="D32" s="5" t="s">
        <v>441</v>
      </c>
      <c r="E32" s="33" t="s">
        <v>241</v>
      </c>
      <c r="F32" s="5" t="s">
        <v>242</v>
      </c>
      <c r="G32" s="33" t="s">
        <v>241</v>
      </c>
      <c r="H32" s="71">
        <v>305655.782198</v>
      </c>
      <c r="I32" s="71">
        <v>6751546.0001980001</v>
      </c>
      <c r="J32" s="4"/>
      <c r="K32" s="84" t="s">
        <v>67</v>
      </c>
      <c r="L32" s="34">
        <v>0</v>
      </c>
      <c r="M32" s="34">
        <v>0</v>
      </c>
      <c r="N32" s="34">
        <v>1</v>
      </c>
      <c r="O32" s="36">
        <v>1</v>
      </c>
      <c r="P32" s="5"/>
      <c r="Q32" s="5"/>
      <c r="R32" s="14" t="s">
        <v>9</v>
      </c>
      <c r="S32" s="12" t="s">
        <v>433</v>
      </c>
      <c r="T32" s="84" t="s">
        <v>77</v>
      </c>
      <c r="U32" s="84" t="s">
        <v>79</v>
      </c>
      <c r="V32" s="84">
        <v>1</v>
      </c>
      <c r="W32" s="4"/>
      <c r="X32" s="12">
        <v>1</v>
      </c>
      <c r="Y32" s="4"/>
      <c r="Z32" s="4"/>
      <c r="AA32" s="4"/>
      <c r="AB32" s="4"/>
      <c r="AC32" s="4"/>
      <c r="AD32" s="4"/>
      <c r="AE32" s="4"/>
    </row>
    <row r="33" spans="1:31" x14ac:dyDescent="0.3">
      <c r="A33" s="4"/>
      <c r="B33" s="32">
        <v>2</v>
      </c>
      <c r="C33" s="32" t="s">
        <v>214</v>
      </c>
      <c r="D33" s="5" t="s">
        <v>441</v>
      </c>
      <c r="E33" s="33" t="s">
        <v>243</v>
      </c>
      <c r="F33" s="5" t="s">
        <v>244</v>
      </c>
      <c r="G33" s="33" t="s">
        <v>243</v>
      </c>
      <c r="H33" s="71">
        <v>254449.00020000001</v>
      </c>
      <c r="I33" s="71">
        <v>6796649.9999980005</v>
      </c>
      <c r="J33" s="4"/>
      <c r="K33" s="84" t="s">
        <v>67</v>
      </c>
      <c r="L33" s="34">
        <v>0</v>
      </c>
      <c r="M33" s="34">
        <v>0</v>
      </c>
      <c r="N33" s="34">
        <v>1</v>
      </c>
      <c r="O33" s="36">
        <v>1</v>
      </c>
      <c r="P33" s="5"/>
      <c r="Q33" s="5"/>
      <c r="R33" s="14" t="s">
        <v>9</v>
      </c>
      <c r="S33" s="12" t="s">
        <v>433</v>
      </c>
      <c r="T33" s="84" t="s">
        <v>77</v>
      </c>
      <c r="U33" s="84" t="s">
        <v>79</v>
      </c>
      <c r="V33" s="84">
        <v>1</v>
      </c>
      <c r="W33" s="4"/>
      <c r="X33" s="12">
        <v>1</v>
      </c>
      <c r="Y33" s="4"/>
      <c r="Z33" s="4"/>
      <c r="AA33" s="4"/>
      <c r="AB33" s="4"/>
      <c r="AC33" s="4"/>
      <c r="AD33" s="4"/>
      <c r="AE33" s="4"/>
    </row>
    <row r="34" spans="1:31" x14ac:dyDescent="0.3">
      <c r="A34" s="4"/>
      <c r="B34" s="32">
        <v>2</v>
      </c>
      <c r="C34" s="32" t="s">
        <v>214</v>
      </c>
      <c r="D34" s="5" t="s">
        <v>441</v>
      </c>
      <c r="E34" s="33" t="s">
        <v>245</v>
      </c>
      <c r="F34" s="5" t="s">
        <v>246</v>
      </c>
      <c r="G34" s="33" t="s">
        <v>245</v>
      </c>
      <c r="H34" s="71">
        <v>322522.00020000001</v>
      </c>
      <c r="I34" s="71">
        <v>6759793.0001980001</v>
      </c>
      <c r="J34" s="4"/>
      <c r="K34" s="84" t="s">
        <v>67</v>
      </c>
      <c r="L34" s="34">
        <v>0</v>
      </c>
      <c r="M34" s="34">
        <v>0</v>
      </c>
      <c r="N34" s="34">
        <v>1</v>
      </c>
      <c r="O34" s="36">
        <v>1</v>
      </c>
      <c r="P34" s="5"/>
      <c r="Q34" s="5"/>
      <c r="R34" s="14" t="s">
        <v>9</v>
      </c>
      <c r="S34" s="12" t="s">
        <v>433</v>
      </c>
      <c r="T34" s="84" t="s">
        <v>430</v>
      </c>
      <c r="U34" s="84" t="s">
        <v>78</v>
      </c>
      <c r="V34" s="84">
        <v>1</v>
      </c>
      <c r="W34" s="4"/>
      <c r="X34" s="12">
        <v>1</v>
      </c>
      <c r="Y34" s="4"/>
      <c r="Z34" s="4"/>
      <c r="AA34" s="4"/>
      <c r="AB34" s="4"/>
      <c r="AC34" s="4"/>
      <c r="AD34" s="4"/>
      <c r="AE34" s="4"/>
    </row>
    <row r="35" spans="1:31" x14ac:dyDescent="0.3">
      <c r="A35" s="4"/>
      <c r="B35" s="32">
        <v>2</v>
      </c>
      <c r="C35" s="32">
        <v>56</v>
      </c>
      <c r="D35" s="5" t="s">
        <v>441</v>
      </c>
      <c r="E35" s="33" t="s">
        <v>247</v>
      </c>
      <c r="F35" s="5" t="s">
        <v>248</v>
      </c>
      <c r="G35" s="33" t="s">
        <v>247</v>
      </c>
      <c r="H35" s="71">
        <v>221116.00020000001</v>
      </c>
      <c r="I35" s="71">
        <v>6775397.9999980005</v>
      </c>
      <c r="J35" s="4"/>
      <c r="K35" s="84" t="s">
        <v>67</v>
      </c>
      <c r="L35" s="34">
        <v>0</v>
      </c>
      <c r="M35" s="34">
        <v>0</v>
      </c>
      <c r="N35" s="34">
        <v>1</v>
      </c>
      <c r="O35" s="36">
        <v>0</v>
      </c>
      <c r="P35" s="5"/>
      <c r="Q35" s="5"/>
      <c r="R35" s="14" t="s">
        <v>9</v>
      </c>
      <c r="S35" s="12" t="s">
        <v>433</v>
      </c>
      <c r="T35" s="84" t="s">
        <v>430</v>
      </c>
      <c r="U35" s="84" t="s">
        <v>78</v>
      </c>
      <c r="V35" s="84">
        <v>1</v>
      </c>
      <c r="W35" s="4"/>
      <c r="X35" s="12">
        <v>1</v>
      </c>
      <c r="Y35" s="4"/>
      <c r="Z35" s="4"/>
      <c r="AA35" s="4"/>
      <c r="AB35" s="4"/>
      <c r="AC35" s="4"/>
      <c r="AD35" s="4"/>
      <c r="AE35" s="4"/>
    </row>
    <row r="36" spans="1:31" x14ac:dyDescent="0.3">
      <c r="A36" s="4"/>
      <c r="B36" s="32">
        <v>2</v>
      </c>
      <c r="C36" s="32" t="s">
        <v>214</v>
      </c>
      <c r="D36" s="5" t="s">
        <v>441</v>
      </c>
      <c r="E36" s="33" t="s">
        <v>249</v>
      </c>
      <c r="F36" s="5" t="s">
        <v>250</v>
      </c>
      <c r="G36" s="33" t="s">
        <v>249</v>
      </c>
      <c r="H36" s="71">
        <v>252520.99979999999</v>
      </c>
      <c r="I36" s="71">
        <v>6754240.9997979999</v>
      </c>
      <c r="J36" s="4"/>
      <c r="K36" s="84" t="s">
        <v>67</v>
      </c>
      <c r="L36" s="34">
        <v>0</v>
      </c>
      <c r="M36" s="34">
        <v>0</v>
      </c>
      <c r="N36" s="34">
        <v>1</v>
      </c>
      <c r="O36" s="36">
        <v>1</v>
      </c>
      <c r="P36" s="12">
        <v>1</v>
      </c>
      <c r="Q36" s="5" t="s">
        <v>435</v>
      </c>
      <c r="R36" s="14" t="s">
        <v>9</v>
      </c>
      <c r="S36" s="12" t="s">
        <v>433</v>
      </c>
      <c r="T36" s="84" t="s">
        <v>430</v>
      </c>
      <c r="U36" s="84" t="s">
        <v>78</v>
      </c>
      <c r="V36" s="84">
        <v>1</v>
      </c>
      <c r="W36" s="4"/>
      <c r="X36" s="12">
        <v>1</v>
      </c>
      <c r="Y36" s="4"/>
      <c r="Z36" s="4"/>
      <c r="AA36" s="4"/>
      <c r="AB36" s="4">
        <v>1</v>
      </c>
      <c r="AC36" s="4"/>
      <c r="AD36" s="77">
        <v>0</v>
      </c>
      <c r="AE36" s="4"/>
    </row>
    <row r="37" spans="1:31" x14ac:dyDescent="0.3">
      <c r="A37" s="4"/>
      <c r="B37" s="32">
        <v>2</v>
      </c>
      <c r="C37" s="32" t="s">
        <v>214</v>
      </c>
      <c r="D37" s="5" t="s">
        <v>441</v>
      </c>
      <c r="E37" s="33" t="s">
        <v>251</v>
      </c>
      <c r="F37" s="5" t="s">
        <v>252</v>
      </c>
      <c r="G37" s="33" t="s">
        <v>251</v>
      </c>
      <c r="H37" s="71">
        <v>237123.494244</v>
      </c>
      <c r="I37" s="71">
        <v>6758485.8381160004</v>
      </c>
      <c r="J37" s="4"/>
      <c r="K37" s="84" t="s">
        <v>67</v>
      </c>
      <c r="L37" s="34">
        <v>0</v>
      </c>
      <c r="M37" s="34">
        <v>0</v>
      </c>
      <c r="N37" s="34">
        <v>1</v>
      </c>
      <c r="O37" s="36">
        <v>0</v>
      </c>
      <c r="P37" s="5"/>
      <c r="Q37" s="5"/>
      <c r="R37" s="14" t="s">
        <v>9</v>
      </c>
      <c r="S37" s="12" t="s">
        <v>433</v>
      </c>
      <c r="T37" s="84" t="s">
        <v>430</v>
      </c>
      <c r="U37" s="84" t="s">
        <v>78</v>
      </c>
      <c r="V37" s="84">
        <v>1</v>
      </c>
      <c r="W37" s="4"/>
      <c r="X37" s="12">
        <v>1</v>
      </c>
      <c r="Y37" s="4"/>
      <c r="Z37" s="4"/>
      <c r="AA37" s="4"/>
      <c r="AB37" s="4"/>
      <c r="AC37" s="4"/>
      <c r="AD37" s="4"/>
      <c r="AE37" s="4"/>
    </row>
    <row r="38" spans="1:31" x14ac:dyDescent="0.3">
      <c r="A38" s="4"/>
      <c r="B38" s="32">
        <v>2</v>
      </c>
      <c r="C38" s="32" t="s">
        <v>214</v>
      </c>
      <c r="D38" s="5" t="s">
        <v>441</v>
      </c>
      <c r="E38" s="33" t="s">
        <v>253</v>
      </c>
      <c r="F38" s="5" t="s">
        <v>254</v>
      </c>
      <c r="G38" s="33" t="s">
        <v>253</v>
      </c>
      <c r="H38" s="71">
        <v>293342.176637</v>
      </c>
      <c r="I38" s="71">
        <v>6749171.2713050004</v>
      </c>
      <c r="J38" s="4"/>
      <c r="K38" s="84" t="s">
        <v>67</v>
      </c>
      <c r="L38" s="34">
        <v>0</v>
      </c>
      <c r="M38" s="34">
        <v>0</v>
      </c>
      <c r="N38" s="34">
        <v>1</v>
      </c>
      <c r="O38" s="36">
        <v>1</v>
      </c>
      <c r="P38" s="5"/>
      <c r="Q38" s="5"/>
      <c r="R38" s="14" t="s">
        <v>9</v>
      </c>
      <c r="S38" s="12" t="s">
        <v>433</v>
      </c>
      <c r="T38" s="84" t="s">
        <v>430</v>
      </c>
      <c r="U38" s="84" t="s">
        <v>78</v>
      </c>
      <c r="V38" s="84">
        <v>1</v>
      </c>
      <c r="W38" s="4"/>
      <c r="X38" s="12">
        <v>1</v>
      </c>
      <c r="Y38" s="4"/>
      <c r="Z38" s="4"/>
      <c r="AA38" s="4"/>
      <c r="AB38" s="4"/>
      <c r="AC38" s="4"/>
      <c r="AD38" s="4"/>
      <c r="AE38" s="4"/>
    </row>
    <row r="39" spans="1:31" x14ac:dyDescent="0.3">
      <c r="A39" s="4"/>
      <c r="B39" s="32">
        <v>2</v>
      </c>
      <c r="C39" s="33">
        <v>44</v>
      </c>
      <c r="D39" s="5" t="s">
        <v>441</v>
      </c>
      <c r="E39" s="33" t="s">
        <v>272</v>
      </c>
      <c r="F39" s="5" t="s">
        <v>273</v>
      </c>
      <c r="G39" s="33" t="s">
        <v>272</v>
      </c>
      <c r="H39" s="71">
        <v>374268.60978</v>
      </c>
      <c r="I39" s="71">
        <v>6679261.1713819997</v>
      </c>
      <c r="J39" s="4"/>
      <c r="K39" s="84" t="s">
        <v>67</v>
      </c>
      <c r="L39" s="38">
        <v>0</v>
      </c>
      <c r="M39" s="34">
        <v>0</v>
      </c>
      <c r="N39" s="34">
        <v>1</v>
      </c>
      <c r="O39" s="39">
        <v>1</v>
      </c>
      <c r="P39" s="56">
        <v>1</v>
      </c>
      <c r="Q39" s="5" t="s">
        <v>436</v>
      </c>
      <c r="R39" s="14" t="s">
        <v>9</v>
      </c>
      <c r="S39" s="4" t="s">
        <v>434</v>
      </c>
      <c r="T39" s="84" t="s">
        <v>431</v>
      </c>
      <c r="U39" s="84" t="s">
        <v>78</v>
      </c>
      <c r="V39" s="84">
        <v>2</v>
      </c>
      <c r="W39" s="4"/>
      <c r="X39" s="12">
        <v>1</v>
      </c>
      <c r="Y39" s="4"/>
      <c r="Z39" s="4"/>
      <c r="AA39" s="4"/>
      <c r="AB39" s="4">
        <v>1</v>
      </c>
      <c r="AC39" s="4"/>
      <c r="AD39" s="4">
        <v>1</v>
      </c>
      <c r="AE39" s="4"/>
    </row>
    <row r="40" spans="1:31" x14ac:dyDescent="0.3">
      <c r="A40" s="4"/>
      <c r="B40" s="32">
        <v>2</v>
      </c>
      <c r="C40" s="33">
        <v>44</v>
      </c>
      <c r="D40" s="5" t="s">
        <v>441</v>
      </c>
      <c r="E40" s="33" t="s">
        <v>274</v>
      </c>
      <c r="F40" s="5" t="s">
        <v>275</v>
      </c>
      <c r="G40" s="33" t="s">
        <v>274</v>
      </c>
      <c r="H40" s="71">
        <v>365545.96493900003</v>
      </c>
      <c r="I40" s="71">
        <v>6677141.2156109996</v>
      </c>
      <c r="J40" s="4"/>
      <c r="K40" s="84" t="s">
        <v>67</v>
      </c>
      <c r="L40" s="38">
        <v>0</v>
      </c>
      <c r="M40" s="34">
        <v>0</v>
      </c>
      <c r="N40" s="34">
        <v>1</v>
      </c>
      <c r="O40" s="39">
        <v>1</v>
      </c>
      <c r="P40" s="5"/>
      <c r="Q40" s="5"/>
      <c r="R40" s="14" t="s">
        <v>9</v>
      </c>
      <c r="S40" s="14" t="s">
        <v>433</v>
      </c>
      <c r="T40" s="84" t="s">
        <v>77</v>
      </c>
      <c r="U40" s="84" t="s">
        <v>79</v>
      </c>
      <c r="V40" s="84">
        <v>1</v>
      </c>
      <c r="W40" s="4"/>
      <c r="X40" s="12">
        <v>1</v>
      </c>
      <c r="Y40" s="4"/>
      <c r="Z40" s="4"/>
      <c r="AA40" s="4"/>
      <c r="AB40" s="4"/>
      <c r="AC40" s="4"/>
      <c r="AD40" s="4"/>
      <c r="AE40" s="4"/>
    </row>
    <row r="41" spans="1:31" x14ac:dyDescent="0.3">
      <c r="A41" s="4"/>
      <c r="B41" s="32" t="s">
        <v>442</v>
      </c>
      <c r="C41" s="33">
        <v>49</v>
      </c>
      <c r="D41" s="5" t="s">
        <v>441</v>
      </c>
      <c r="E41" s="33" t="s">
        <v>278</v>
      </c>
      <c r="F41" s="5" t="s">
        <v>279</v>
      </c>
      <c r="G41" s="33" t="s">
        <v>278</v>
      </c>
      <c r="H41" s="71">
        <v>443347.00020000001</v>
      </c>
      <c r="I41" s="71">
        <v>6723296.9999980005</v>
      </c>
      <c r="J41" s="4"/>
      <c r="K41" s="84" t="s">
        <v>67</v>
      </c>
      <c r="L41" s="38">
        <v>0</v>
      </c>
      <c r="M41" s="34">
        <v>0</v>
      </c>
      <c r="N41" s="34">
        <v>1</v>
      </c>
      <c r="O41" s="39">
        <v>1</v>
      </c>
      <c r="P41" s="5"/>
      <c r="Q41" s="5"/>
      <c r="R41" s="14" t="s">
        <v>9</v>
      </c>
      <c r="S41" s="14" t="s">
        <v>433</v>
      </c>
      <c r="T41" s="84" t="s">
        <v>77</v>
      </c>
      <c r="U41" s="84" t="s">
        <v>79</v>
      </c>
      <c r="V41" s="84">
        <v>1</v>
      </c>
      <c r="W41" s="4"/>
      <c r="X41" s="12">
        <v>1</v>
      </c>
      <c r="Y41" s="4"/>
      <c r="Z41" s="4"/>
      <c r="AA41" s="4"/>
      <c r="AB41" s="4"/>
      <c r="AC41" s="4"/>
      <c r="AD41" s="4"/>
      <c r="AE41" s="4"/>
    </row>
    <row r="42" spans="1:31" x14ac:dyDescent="0.3">
      <c r="A42" s="4"/>
      <c r="B42" s="32">
        <v>2</v>
      </c>
      <c r="C42" s="33">
        <v>49</v>
      </c>
      <c r="D42" s="14" t="s">
        <v>441</v>
      </c>
      <c r="E42" s="33" t="s">
        <v>282</v>
      </c>
      <c r="F42" s="5" t="s">
        <v>283</v>
      </c>
      <c r="G42" s="33" t="s">
        <v>282</v>
      </c>
      <c r="H42" s="71">
        <v>466829.22031499998</v>
      </c>
      <c r="I42" s="71">
        <v>6681967.2062459998</v>
      </c>
      <c r="J42" s="4"/>
      <c r="K42" s="84" t="s">
        <v>428</v>
      </c>
      <c r="L42" s="38">
        <v>1</v>
      </c>
      <c r="M42" s="34">
        <v>0</v>
      </c>
      <c r="N42" s="34">
        <v>1</v>
      </c>
      <c r="O42" s="39">
        <v>1</v>
      </c>
      <c r="P42" s="5"/>
      <c r="Q42" s="5"/>
      <c r="R42" s="81" t="s">
        <v>9</v>
      </c>
      <c r="S42" s="4" t="s">
        <v>433</v>
      </c>
      <c r="T42" s="84" t="s">
        <v>77</v>
      </c>
      <c r="U42" s="84" t="s">
        <v>79</v>
      </c>
      <c r="V42" s="84">
        <v>1</v>
      </c>
      <c r="W42" s="12">
        <v>1</v>
      </c>
      <c r="X42" s="12">
        <v>1</v>
      </c>
      <c r="Y42" s="4"/>
      <c r="Z42" s="4"/>
      <c r="AA42" s="4"/>
      <c r="AB42" s="4"/>
      <c r="AC42" s="4"/>
      <c r="AD42" s="4"/>
      <c r="AE42" s="4"/>
    </row>
    <row r="43" spans="1:31" x14ac:dyDescent="0.3">
      <c r="A43" s="4"/>
      <c r="B43" s="32">
        <v>2</v>
      </c>
      <c r="C43" s="33">
        <v>49</v>
      </c>
      <c r="D43" s="5" t="s">
        <v>441</v>
      </c>
      <c r="E43" s="33" t="s">
        <v>284</v>
      </c>
      <c r="F43" s="5" t="s">
        <v>285</v>
      </c>
      <c r="G43" s="33" t="s">
        <v>284</v>
      </c>
      <c r="H43" s="71">
        <v>421791.535837</v>
      </c>
      <c r="I43" s="71">
        <v>6688594.8450100003</v>
      </c>
      <c r="J43" s="4"/>
      <c r="K43" s="84" t="s">
        <v>67</v>
      </c>
      <c r="L43" s="38">
        <v>0</v>
      </c>
      <c r="M43" s="34">
        <v>0</v>
      </c>
      <c r="N43" s="34">
        <v>1</v>
      </c>
      <c r="O43" s="39">
        <v>0</v>
      </c>
      <c r="P43" s="5"/>
      <c r="Q43" s="5"/>
      <c r="R43" s="14" t="s">
        <v>9</v>
      </c>
      <c r="S43" s="4" t="s">
        <v>433</v>
      </c>
      <c r="T43" s="84" t="s">
        <v>431</v>
      </c>
      <c r="U43" s="84" t="s">
        <v>78</v>
      </c>
      <c r="V43" s="84">
        <v>2</v>
      </c>
      <c r="W43" s="4"/>
      <c r="X43" s="12">
        <v>1</v>
      </c>
      <c r="Y43" s="4"/>
      <c r="Z43" s="4"/>
      <c r="AA43" s="4"/>
      <c r="AB43" s="4"/>
      <c r="AC43" s="4"/>
      <c r="AD43" s="4"/>
      <c r="AE43" s="4"/>
    </row>
    <row r="44" spans="1:31" x14ac:dyDescent="0.3">
      <c r="A44" s="4"/>
      <c r="B44" s="32">
        <v>2</v>
      </c>
      <c r="C44" s="33">
        <v>49</v>
      </c>
      <c r="D44" s="5" t="s">
        <v>441</v>
      </c>
      <c r="E44" s="33" t="s">
        <v>302</v>
      </c>
      <c r="F44" s="5" t="s">
        <v>303</v>
      </c>
      <c r="G44" s="33" t="s">
        <v>302</v>
      </c>
      <c r="H44" s="71">
        <v>394740</v>
      </c>
      <c r="I44" s="71">
        <v>6700582.9997979999</v>
      </c>
      <c r="J44" s="4"/>
      <c r="K44" s="84" t="s">
        <v>67</v>
      </c>
      <c r="L44" s="38">
        <v>0</v>
      </c>
      <c r="M44" s="34">
        <v>0</v>
      </c>
      <c r="N44" s="34">
        <v>1</v>
      </c>
      <c r="O44" s="39">
        <v>1</v>
      </c>
      <c r="P44" s="5"/>
      <c r="Q44" s="5"/>
      <c r="R44" s="14" t="s">
        <v>9</v>
      </c>
      <c r="S44" s="4" t="s">
        <v>433</v>
      </c>
      <c r="T44" s="84" t="s">
        <v>77</v>
      </c>
      <c r="U44" s="84" t="s">
        <v>79</v>
      </c>
      <c r="V44" s="84">
        <v>1</v>
      </c>
      <c r="W44" s="4"/>
      <c r="X44" s="12">
        <v>1</v>
      </c>
      <c r="Y44" s="4"/>
      <c r="Z44" s="4"/>
      <c r="AA44" s="4"/>
      <c r="AB44" s="4"/>
      <c r="AC44" s="4"/>
      <c r="AD44" s="4"/>
      <c r="AE44" s="4"/>
    </row>
    <row r="45" spans="1:31" x14ac:dyDescent="0.3">
      <c r="A45" s="4"/>
      <c r="B45" s="32">
        <v>2</v>
      </c>
      <c r="C45" s="33">
        <v>49</v>
      </c>
      <c r="D45" s="5" t="s">
        <v>441</v>
      </c>
      <c r="E45" s="33" t="s">
        <v>304</v>
      </c>
      <c r="F45" s="5" t="s">
        <v>305</v>
      </c>
      <c r="G45" s="33" t="s">
        <v>304</v>
      </c>
      <c r="H45" s="71">
        <v>428239.99979999999</v>
      </c>
      <c r="I45" s="71">
        <v>6721768.0001980001</v>
      </c>
      <c r="J45" s="4"/>
      <c r="K45" s="84" t="s">
        <v>67</v>
      </c>
      <c r="L45" s="38">
        <v>0</v>
      </c>
      <c r="M45" s="34">
        <v>0</v>
      </c>
      <c r="N45" s="34">
        <v>1</v>
      </c>
      <c r="O45" s="39">
        <v>1</v>
      </c>
      <c r="P45" s="5"/>
      <c r="Q45" s="5"/>
      <c r="R45" s="14" t="s">
        <v>9</v>
      </c>
      <c r="S45" s="4" t="s">
        <v>433</v>
      </c>
      <c r="T45" s="84" t="s">
        <v>77</v>
      </c>
      <c r="U45" s="84" t="s">
        <v>79</v>
      </c>
      <c r="V45" s="84">
        <v>1</v>
      </c>
      <c r="W45" s="4"/>
      <c r="X45" s="12">
        <v>1</v>
      </c>
      <c r="Y45" s="4"/>
      <c r="Z45" s="4"/>
      <c r="AA45" s="4"/>
      <c r="AB45" s="4"/>
      <c r="AC45" s="4"/>
      <c r="AD45" s="4"/>
      <c r="AE45" s="4"/>
    </row>
    <row r="46" spans="1:31" x14ac:dyDescent="0.3">
      <c r="A46" s="4"/>
      <c r="B46" s="32">
        <v>2</v>
      </c>
      <c r="C46" s="33">
        <v>49</v>
      </c>
      <c r="D46" s="5" t="s">
        <v>441</v>
      </c>
      <c r="E46" s="33" t="s">
        <v>306</v>
      </c>
      <c r="F46" s="5" t="s">
        <v>307</v>
      </c>
      <c r="G46" s="33" t="s">
        <v>306</v>
      </c>
      <c r="H46" s="71">
        <v>426108.70163299999</v>
      </c>
      <c r="I46" s="71">
        <v>6697024.2001240002</v>
      </c>
      <c r="J46" s="4"/>
      <c r="K46" s="84" t="s">
        <v>67</v>
      </c>
      <c r="L46" s="38">
        <v>0</v>
      </c>
      <c r="M46" s="34">
        <v>0</v>
      </c>
      <c r="N46" s="34">
        <v>1</v>
      </c>
      <c r="O46" s="39">
        <v>1</v>
      </c>
      <c r="P46" s="5"/>
      <c r="Q46" s="5"/>
      <c r="R46" s="14" t="s">
        <v>9</v>
      </c>
      <c r="S46" s="4" t="s">
        <v>433</v>
      </c>
      <c r="T46" s="84" t="s">
        <v>77</v>
      </c>
      <c r="U46" s="84" t="s">
        <v>79</v>
      </c>
      <c r="V46" s="84">
        <v>1</v>
      </c>
      <c r="W46" s="4"/>
      <c r="X46" s="12">
        <v>1</v>
      </c>
      <c r="Y46" s="4"/>
      <c r="Z46" s="4"/>
      <c r="AA46" s="4"/>
      <c r="AB46" s="4"/>
      <c r="AC46" s="4"/>
      <c r="AD46" s="4"/>
      <c r="AE46" s="4"/>
    </row>
    <row r="47" spans="1:31" x14ac:dyDescent="0.3">
      <c r="A47" s="4"/>
      <c r="B47" s="32">
        <v>2</v>
      </c>
      <c r="C47" s="33">
        <v>49</v>
      </c>
      <c r="D47" s="5" t="s">
        <v>441</v>
      </c>
      <c r="E47" s="33" t="s">
        <v>312</v>
      </c>
      <c r="F47" s="5" t="s">
        <v>313</v>
      </c>
      <c r="G47" s="33" t="s">
        <v>312</v>
      </c>
      <c r="H47" s="71">
        <v>373633.00020000001</v>
      </c>
      <c r="I47" s="71">
        <v>6698428.0001980001</v>
      </c>
      <c r="J47" s="4"/>
      <c r="K47" s="84" t="s">
        <v>67</v>
      </c>
      <c r="L47" s="38">
        <v>0</v>
      </c>
      <c r="M47" s="34">
        <v>0</v>
      </c>
      <c r="N47" s="34">
        <v>1</v>
      </c>
      <c r="O47" s="39">
        <v>1</v>
      </c>
      <c r="P47" s="5"/>
      <c r="Q47" s="5"/>
      <c r="R47" s="14" t="s">
        <v>9</v>
      </c>
      <c r="S47" s="4" t="s">
        <v>434</v>
      </c>
      <c r="T47" s="84" t="s">
        <v>431</v>
      </c>
      <c r="U47" s="84" t="s">
        <v>78</v>
      </c>
      <c r="V47" s="84">
        <v>2</v>
      </c>
      <c r="W47" s="4">
        <v>1</v>
      </c>
      <c r="X47" s="12">
        <v>1</v>
      </c>
      <c r="Y47" s="4">
        <v>1</v>
      </c>
      <c r="Z47" s="4"/>
      <c r="AA47" s="4"/>
      <c r="AB47" s="4"/>
      <c r="AC47" s="4"/>
      <c r="AD47" s="4"/>
      <c r="AE47" s="4"/>
    </row>
    <row r="48" spans="1:31" x14ac:dyDescent="0.3">
      <c r="A48" s="4"/>
      <c r="B48" s="32">
        <v>2</v>
      </c>
      <c r="C48" s="33">
        <v>49</v>
      </c>
      <c r="D48" s="5" t="s">
        <v>441</v>
      </c>
      <c r="E48" s="33" t="s">
        <v>314</v>
      </c>
      <c r="F48" s="5" t="s">
        <v>315</v>
      </c>
      <c r="G48" s="33" t="s">
        <v>314</v>
      </c>
      <c r="H48" s="71">
        <v>428060.54519999999</v>
      </c>
      <c r="I48" s="71">
        <v>6708448.5785980001</v>
      </c>
      <c r="J48" s="4"/>
      <c r="K48" s="84" t="s">
        <v>67</v>
      </c>
      <c r="L48" s="38">
        <v>0</v>
      </c>
      <c r="M48" s="34">
        <v>0</v>
      </c>
      <c r="N48" s="34">
        <v>1</v>
      </c>
      <c r="O48" s="39">
        <v>1</v>
      </c>
      <c r="P48" s="5"/>
      <c r="Q48" s="5"/>
      <c r="R48" s="14" t="s">
        <v>9</v>
      </c>
      <c r="S48" s="4" t="s">
        <v>433</v>
      </c>
      <c r="T48" s="84" t="s">
        <v>77</v>
      </c>
      <c r="U48" s="84" t="s">
        <v>79</v>
      </c>
      <c r="V48" s="84">
        <v>1</v>
      </c>
      <c r="W48" s="4"/>
      <c r="X48" s="12">
        <v>1</v>
      </c>
      <c r="Y48" s="4"/>
      <c r="Z48" s="4"/>
      <c r="AA48" s="4"/>
      <c r="AB48" s="4"/>
      <c r="AC48" s="4"/>
      <c r="AD48" s="4"/>
      <c r="AE48" s="4"/>
    </row>
    <row r="49" spans="1:31" x14ac:dyDescent="0.3">
      <c r="A49" s="4"/>
      <c r="B49" s="32">
        <v>2</v>
      </c>
      <c r="C49" s="33">
        <v>53</v>
      </c>
      <c r="D49" s="5" t="s">
        <v>441</v>
      </c>
      <c r="E49" s="33" t="s">
        <v>318</v>
      </c>
      <c r="F49" s="5" t="s">
        <v>319</v>
      </c>
      <c r="G49" s="33" t="s">
        <v>318</v>
      </c>
      <c r="H49" s="71">
        <v>404359.17564199999</v>
      </c>
      <c r="I49" s="71">
        <v>6754469.3904149998</v>
      </c>
      <c r="J49" s="4"/>
      <c r="K49" s="84" t="s">
        <v>67</v>
      </c>
      <c r="L49" s="38">
        <v>0</v>
      </c>
      <c r="M49" s="34">
        <v>0</v>
      </c>
      <c r="N49" s="34">
        <v>1</v>
      </c>
      <c r="O49" s="39">
        <v>1</v>
      </c>
      <c r="P49" s="5"/>
      <c r="Q49" s="5"/>
      <c r="R49" s="14" t="s">
        <v>9</v>
      </c>
      <c r="S49" s="4" t="s">
        <v>433</v>
      </c>
      <c r="T49" s="84" t="s">
        <v>77</v>
      </c>
      <c r="U49" s="84" t="s">
        <v>79</v>
      </c>
      <c r="V49" s="84">
        <v>1</v>
      </c>
      <c r="W49" s="4"/>
      <c r="X49" s="12">
        <v>1</v>
      </c>
      <c r="Y49" s="4"/>
      <c r="Z49" s="4"/>
      <c r="AA49" s="4"/>
      <c r="AB49" s="4"/>
      <c r="AC49" s="4"/>
      <c r="AD49" s="4"/>
      <c r="AE49" s="4"/>
    </row>
    <row r="50" spans="1:31" x14ac:dyDescent="0.3">
      <c r="A50" s="4"/>
      <c r="B50" s="32">
        <v>2</v>
      </c>
      <c r="C50" s="33">
        <v>53</v>
      </c>
      <c r="D50" s="5" t="s">
        <v>441</v>
      </c>
      <c r="E50" s="33" t="s">
        <v>330</v>
      </c>
      <c r="F50" s="5" t="s">
        <v>331</v>
      </c>
      <c r="G50" s="33" t="s">
        <v>330</v>
      </c>
      <c r="H50" s="71">
        <v>407541</v>
      </c>
      <c r="I50" s="71">
        <v>6810431.9999980005</v>
      </c>
      <c r="J50" s="4"/>
      <c r="K50" s="84" t="s">
        <v>67</v>
      </c>
      <c r="L50" s="38">
        <v>0</v>
      </c>
      <c r="M50" s="34">
        <v>0</v>
      </c>
      <c r="N50" s="34">
        <v>1</v>
      </c>
      <c r="O50" s="39">
        <v>1</v>
      </c>
      <c r="P50" s="5"/>
      <c r="Q50" s="5"/>
      <c r="R50" s="14" t="s">
        <v>9</v>
      </c>
      <c r="S50" s="4" t="s">
        <v>433</v>
      </c>
      <c r="T50" s="84" t="s">
        <v>431</v>
      </c>
      <c r="U50" s="84" t="s">
        <v>78</v>
      </c>
      <c r="V50" s="84">
        <v>2</v>
      </c>
      <c r="W50" s="4"/>
      <c r="X50" s="12">
        <v>1</v>
      </c>
      <c r="Y50" s="4"/>
      <c r="Z50" s="4"/>
      <c r="AA50" s="4"/>
      <c r="AB50" s="4"/>
      <c r="AC50" s="4"/>
      <c r="AD50" s="4"/>
      <c r="AE50" s="4"/>
    </row>
    <row r="51" spans="1:31" x14ac:dyDescent="0.3">
      <c r="A51" s="4"/>
      <c r="B51" s="32">
        <v>2</v>
      </c>
      <c r="C51" s="33">
        <v>53</v>
      </c>
      <c r="D51" s="5" t="s">
        <v>441</v>
      </c>
      <c r="E51" s="33" t="s">
        <v>340</v>
      </c>
      <c r="F51" s="5" t="s">
        <v>341</v>
      </c>
      <c r="G51" s="33" t="s">
        <v>340</v>
      </c>
      <c r="H51" s="71">
        <v>434821.99979999999</v>
      </c>
      <c r="I51" s="71">
        <v>6820309.9997979999</v>
      </c>
      <c r="J51" s="4"/>
      <c r="K51" s="84" t="s">
        <v>67</v>
      </c>
      <c r="L51" s="38">
        <v>0</v>
      </c>
      <c r="M51" s="34">
        <v>0</v>
      </c>
      <c r="N51" s="34">
        <v>1</v>
      </c>
      <c r="O51" s="39">
        <v>0</v>
      </c>
      <c r="P51" s="12">
        <v>1</v>
      </c>
      <c r="Q51" s="5" t="s">
        <v>436</v>
      </c>
      <c r="R51" s="14" t="s">
        <v>9</v>
      </c>
      <c r="S51" s="4" t="s">
        <v>433</v>
      </c>
      <c r="T51" s="84" t="s">
        <v>77</v>
      </c>
      <c r="U51" s="84" t="s">
        <v>79</v>
      </c>
      <c r="V51" s="84">
        <v>1</v>
      </c>
      <c r="W51" s="4"/>
      <c r="X51" s="12">
        <v>1</v>
      </c>
      <c r="Y51" s="4"/>
      <c r="Z51" s="4"/>
      <c r="AA51" s="4"/>
      <c r="AB51" s="81">
        <v>1</v>
      </c>
      <c r="AC51" s="4"/>
      <c r="AD51" s="4">
        <v>1</v>
      </c>
      <c r="AE51" s="4"/>
    </row>
    <row r="52" spans="1:31" x14ac:dyDescent="0.3">
      <c r="A52" s="4"/>
      <c r="B52" s="32">
        <v>2</v>
      </c>
      <c r="C52" s="33">
        <v>72</v>
      </c>
      <c r="D52" s="14" t="s">
        <v>445</v>
      </c>
      <c r="E52" s="33" t="s">
        <v>344</v>
      </c>
      <c r="F52" s="5" t="s">
        <v>345</v>
      </c>
      <c r="G52" s="33" t="s">
        <v>344</v>
      </c>
      <c r="H52" s="71">
        <v>526579.99979999999</v>
      </c>
      <c r="I52" s="71">
        <v>6793499.9999980005</v>
      </c>
      <c r="J52" s="4"/>
      <c r="K52" s="84" t="s">
        <v>428</v>
      </c>
      <c r="L52" s="38">
        <v>0</v>
      </c>
      <c r="M52" s="34">
        <v>1</v>
      </c>
      <c r="N52" s="34">
        <v>1</v>
      </c>
      <c r="O52" s="39">
        <v>1</v>
      </c>
      <c r="P52" s="5"/>
      <c r="Q52" s="5"/>
      <c r="R52" s="83" t="s">
        <v>9</v>
      </c>
      <c r="S52" s="4" t="s">
        <v>433</v>
      </c>
      <c r="T52" s="84" t="s">
        <v>77</v>
      </c>
      <c r="U52" s="84" t="s">
        <v>429</v>
      </c>
      <c r="V52" s="84">
        <v>1</v>
      </c>
      <c r="W52" s="12">
        <v>1</v>
      </c>
      <c r="X52" s="12">
        <v>1</v>
      </c>
      <c r="Y52" s="4"/>
      <c r="Z52" s="4"/>
      <c r="AA52" s="4"/>
      <c r="AB52" s="4"/>
      <c r="AC52" s="4"/>
      <c r="AD52" s="4"/>
      <c r="AE52" s="4"/>
    </row>
    <row r="53" spans="1:31" x14ac:dyDescent="0.3">
      <c r="A53" s="4"/>
      <c r="B53" s="32">
        <v>2</v>
      </c>
      <c r="C53" s="33">
        <v>72</v>
      </c>
      <c r="D53" s="5" t="s">
        <v>441</v>
      </c>
      <c r="E53" s="33" t="s">
        <v>348</v>
      </c>
      <c r="F53" s="5" t="s">
        <v>349</v>
      </c>
      <c r="G53" s="33" t="s">
        <v>348</v>
      </c>
      <c r="H53" s="71">
        <v>468262.99979999999</v>
      </c>
      <c r="I53" s="71">
        <v>6774575.9999980005</v>
      </c>
      <c r="J53" s="4"/>
      <c r="K53" s="84" t="s">
        <v>67</v>
      </c>
      <c r="L53" s="38">
        <v>0</v>
      </c>
      <c r="M53" s="34">
        <v>0</v>
      </c>
      <c r="N53" s="34">
        <v>1</v>
      </c>
      <c r="O53" s="39">
        <v>0</v>
      </c>
      <c r="P53" s="5"/>
      <c r="Q53" s="5"/>
      <c r="R53" s="14" t="s">
        <v>9</v>
      </c>
      <c r="S53" s="4" t="s">
        <v>433</v>
      </c>
      <c r="T53" s="84" t="s">
        <v>431</v>
      </c>
      <c r="U53" s="84" t="s">
        <v>78</v>
      </c>
      <c r="V53" s="84">
        <v>2</v>
      </c>
      <c r="W53" s="4"/>
      <c r="X53" s="12">
        <v>1</v>
      </c>
      <c r="Y53" s="4"/>
      <c r="Z53" s="4"/>
      <c r="AA53" s="4"/>
      <c r="AB53" s="4"/>
      <c r="AC53" s="4"/>
      <c r="AD53" s="4"/>
      <c r="AE53" s="4"/>
    </row>
    <row r="54" spans="1:31" x14ac:dyDescent="0.3">
      <c r="A54" s="4"/>
      <c r="B54" s="32">
        <v>2</v>
      </c>
      <c r="C54" s="33">
        <v>72</v>
      </c>
      <c r="D54" s="5" t="s">
        <v>441</v>
      </c>
      <c r="E54" s="33" t="s">
        <v>354</v>
      </c>
      <c r="F54" s="5" t="s">
        <v>355</v>
      </c>
      <c r="G54" s="33" t="s">
        <v>354</v>
      </c>
      <c r="H54" s="71">
        <v>522326.11116899998</v>
      </c>
      <c r="I54" s="71">
        <v>6759224.9660700001</v>
      </c>
      <c r="J54" s="4"/>
      <c r="K54" s="84" t="s">
        <v>67</v>
      </c>
      <c r="L54" s="38">
        <v>0</v>
      </c>
      <c r="M54" s="34">
        <v>0</v>
      </c>
      <c r="N54" s="34">
        <v>1</v>
      </c>
      <c r="O54" s="39">
        <v>1</v>
      </c>
      <c r="P54" s="5"/>
      <c r="Q54" s="5"/>
      <c r="R54" s="14" t="s">
        <v>9</v>
      </c>
      <c r="S54" s="4" t="s">
        <v>433</v>
      </c>
      <c r="T54" s="84" t="s">
        <v>431</v>
      </c>
      <c r="U54" s="84" t="s">
        <v>78</v>
      </c>
      <c r="V54" s="84">
        <v>1</v>
      </c>
      <c r="W54" s="4"/>
      <c r="X54" s="12">
        <v>1</v>
      </c>
      <c r="Y54" s="4"/>
      <c r="Z54" s="4"/>
      <c r="AA54" s="4"/>
      <c r="AB54" s="4"/>
      <c r="AC54" s="4"/>
      <c r="AD54" s="4"/>
      <c r="AE54" s="4"/>
    </row>
    <row r="55" spans="1:31" x14ac:dyDescent="0.3">
      <c r="A55" s="4"/>
      <c r="B55" s="32">
        <v>2</v>
      </c>
      <c r="C55" s="33">
        <v>72</v>
      </c>
      <c r="D55" s="5" t="s">
        <v>441</v>
      </c>
      <c r="E55" s="33" t="s">
        <v>366</v>
      </c>
      <c r="F55" s="5" t="s">
        <v>367</v>
      </c>
      <c r="G55" s="33" t="s">
        <v>366</v>
      </c>
      <c r="H55" s="71">
        <v>505390.00020000001</v>
      </c>
      <c r="I55" s="71">
        <v>6799111.9997979999</v>
      </c>
      <c r="J55" s="4"/>
      <c r="K55" s="84" t="s">
        <v>67</v>
      </c>
      <c r="L55" s="38">
        <v>0</v>
      </c>
      <c r="M55" s="34">
        <v>0</v>
      </c>
      <c r="N55" s="34">
        <v>1</v>
      </c>
      <c r="O55" s="39">
        <v>0</v>
      </c>
      <c r="P55" s="5"/>
      <c r="Q55" s="5"/>
      <c r="R55" s="14" t="s">
        <v>9</v>
      </c>
      <c r="S55" s="4" t="s">
        <v>433</v>
      </c>
      <c r="T55" s="84" t="s">
        <v>431</v>
      </c>
      <c r="U55" s="84" t="s">
        <v>78</v>
      </c>
      <c r="V55" s="84">
        <v>1</v>
      </c>
      <c r="W55" s="4"/>
      <c r="X55" s="12">
        <v>1</v>
      </c>
      <c r="Y55" s="4"/>
      <c r="Z55" s="4"/>
      <c r="AA55" s="4"/>
      <c r="AB55" s="4"/>
      <c r="AC55" s="4"/>
      <c r="AD55" s="4"/>
      <c r="AE55" s="4"/>
    </row>
    <row r="56" spans="1:31" x14ac:dyDescent="0.3">
      <c r="A56" s="4"/>
      <c r="B56" s="32">
        <v>2</v>
      </c>
      <c r="C56" s="33">
        <v>72</v>
      </c>
      <c r="D56" s="5" t="s">
        <v>441</v>
      </c>
      <c r="E56" s="33" t="s">
        <v>368</v>
      </c>
      <c r="F56" s="5" t="s">
        <v>369</v>
      </c>
      <c r="G56" s="33" t="s">
        <v>368</v>
      </c>
      <c r="H56" s="71">
        <v>488290.24672400003</v>
      </c>
      <c r="I56" s="71">
        <v>6777214.7021650001</v>
      </c>
      <c r="J56" s="4"/>
      <c r="K56" s="84" t="s">
        <v>67</v>
      </c>
      <c r="L56" s="38">
        <v>0</v>
      </c>
      <c r="M56" s="34">
        <v>0</v>
      </c>
      <c r="N56" s="34">
        <v>1</v>
      </c>
      <c r="O56" s="39">
        <v>1</v>
      </c>
      <c r="P56" s="5"/>
      <c r="Q56" s="5"/>
      <c r="R56" s="14" t="s">
        <v>9</v>
      </c>
      <c r="S56" s="4" t="s">
        <v>433</v>
      </c>
      <c r="T56" s="84" t="s">
        <v>431</v>
      </c>
      <c r="U56" s="84" t="s">
        <v>78</v>
      </c>
      <c r="V56" s="84">
        <v>2</v>
      </c>
      <c r="W56" s="4"/>
      <c r="X56" s="12">
        <v>1</v>
      </c>
      <c r="Y56" s="4"/>
      <c r="Z56" s="4"/>
      <c r="AA56" s="4"/>
      <c r="AB56" s="4"/>
      <c r="AC56" s="4"/>
      <c r="AD56" s="4"/>
      <c r="AE56" s="4"/>
    </row>
    <row r="57" spans="1:31" x14ac:dyDescent="0.3">
      <c r="A57" s="4"/>
      <c r="B57" s="32">
        <v>2</v>
      </c>
      <c r="C57" s="33">
        <v>72</v>
      </c>
      <c r="D57" s="5" t="s">
        <v>441</v>
      </c>
      <c r="E57" s="33" t="s">
        <v>370</v>
      </c>
      <c r="F57" s="5" t="s">
        <v>371</v>
      </c>
      <c r="G57" s="33" t="s">
        <v>370</v>
      </c>
      <c r="H57" s="71">
        <v>490018.00020000001</v>
      </c>
      <c r="I57" s="71">
        <v>6742547.9999980005</v>
      </c>
      <c r="J57" s="4"/>
      <c r="K57" s="84" t="s">
        <v>67</v>
      </c>
      <c r="L57" s="38">
        <v>0</v>
      </c>
      <c r="M57" s="34">
        <v>0</v>
      </c>
      <c r="N57" s="34">
        <v>1</v>
      </c>
      <c r="O57" s="39">
        <v>1</v>
      </c>
      <c r="P57" s="5"/>
      <c r="Q57" s="5"/>
      <c r="R57" s="14" t="s">
        <v>9</v>
      </c>
      <c r="S57" s="4" t="s">
        <v>433</v>
      </c>
      <c r="T57" s="84" t="s">
        <v>431</v>
      </c>
      <c r="U57" s="84" t="s">
        <v>78</v>
      </c>
      <c r="V57" s="84">
        <v>2</v>
      </c>
      <c r="W57" s="4"/>
      <c r="X57" s="12">
        <v>1</v>
      </c>
      <c r="Y57" s="4"/>
      <c r="Z57" s="4"/>
      <c r="AA57" s="4"/>
      <c r="AB57" s="4"/>
      <c r="AC57" s="4"/>
      <c r="AD57" s="4"/>
      <c r="AE57" s="4"/>
    </row>
    <row r="58" spans="1:31" x14ac:dyDescent="0.3">
      <c r="A58" s="4"/>
      <c r="B58" s="32">
        <v>2</v>
      </c>
      <c r="C58" s="33">
        <v>72</v>
      </c>
      <c r="D58" s="5" t="s">
        <v>441</v>
      </c>
      <c r="E58" s="33" t="s">
        <v>372</v>
      </c>
      <c r="F58" s="5" t="s">
        <v>373</v>
      </c>
      <c r="G58" s="33" t="s">
        <v>372</v>
      </c>
      <c r="H58" s="71">
        <v>504817.99979999999</v>
      </c>
      <c r="I58" s="71">
        <v>6732971.9999980005</v>
      </c>
      <c r="J58" s="4"/>
      <c r="K58" s="84" t="s">
        <v>67</v>
      </c>
      <c r="L58" s="38">
        <v>0</v>
      </c>
      <c r="M58" s="34">
        <v>0</v>
      </c>
      <c r="N58" s="34">
        <v>1</v>
      </c>
      <c r="O58" s="39">
        <v>1</v>
      </c>
      <c r="P58" s="5"/>
      <c r="Q58" s="5"/>
      <c r="R58" s="14" t="s">
        <v>9</v>
      </c>
      <c r="S58" s="4" t="s">
        <v>433</v>
      </c>
      <c r="T58" s="84" t="s">
        <v>77</v>
      </c>
      <c r="U58" s="84" t="s">
        <v>79</v>
      </c>
      <c r="V58" s="84">
        <v>1</v>
      </c>
      <c r="W58" s="4"/>
      <c r="X58" s="12">
        <v>1</v>
      </c>
      <c r="Y58" s="4"/>
      <c r="Z58" s="4"/>
      <c r="AA58" s="4"/>
      <c r="AB58" s="4"/>
      <c r="AC58" s="4"/>
      <c r="AD58" s="4"/>
      <c r="AE58" s="4"/>
    </row>
    <row r="59" spans="1:31" x14ac:dyDescent="0.3">
      <c r="A59" s="4"/>
      <c r="B59" s="32">
        <v>2</v>
      </c>
      <c r="C59" s="33">
        <v>72</v>
      </c>
      <c r="D59" s="5" t="s">
        <v>441</v>
      </c>
      <c r="E59" s="33" t="s">
        <v>374</v>
      </c>
      <c r="F59" s="5" t="s">
        <v>375</v>
      </c>
      <c r="G59" s="33" t="s">
        <v>374</v>
      </c>
      <c r="H59" s="71">
        <v>488313</v>
      </c>
      <c r="I59" s="71">
        <v>6761143.9997979999</v>
      </c>
      <c r="J59" s="4"/>
      <c r="K59" s="84" t="s">
        <v>67</v>
      </c>
      <c r="L59" s="38">
        <v>0</v>
      </c>
      <c r="M59" s="34">
        <v>0</v>
      </c>
      <c r="N59" s="34">
        <v>1</v>
      </c>
      <c r="O59" s="39">
        <v>0</v>
      </c>
      <c r="P59" s="5"/>
      <c r="Q59" s="5"/>
      <c r="R59" s="14" t="s">
        <v>9</v>
      </c>
      <c r="S59" s="4" t="s">
        <v>433</v>
      </c>
      <c r="T59" s="84" t="s">
        <v>77</v>
      </c>
      <c r="U59" s="84" t="s">
        <v>79</v>
      </c>
      <c r="V59" s="84">
        <v>1</v>
      </c>
      <c r="W59" s="4"/>
      <c r="X59" s="12">
        <v>1</v>
      </c>
      <c r="Y59" s="4"/>
      <c r="Z59" s="4"/>
      <c r="AA59" s="4"/>
      <c r="AB59" s="4"/>
      <c r="AC59" s="4"/>
      <c r="AD59" s="4"/>
      <c r="AE59" s="4"/>
    </row>
    <row r="60" spans="1:31" x14ac:dyDescent="0.3">
      <c r="A60" s="4"/>
      <c r="B60" s="32">
        <v>2</v>
      </c>
      <c r="C60" s="33">
        <v>85</v>
      </c>
      <c r="D60" s="5" t="s">
        <v>441</v>
      </c>
      <c r="E60" s="33" t="s">
        <v>376</v>
      </c>
      <c r="F60" s="5" t="s">
        <v>377</v>
      </c>
      <c r="G60" s="33" t="s">
        <v>376</v>
      </c>
      <c r="H60" s="71">
        <v>399880.00020000001</v>
      </c>
      <c r="I60" s="71">
        <v>6637149</v>
      </c>
      <c r="J60" s="4"/>
      <c r="K60" s="84" t="s">
        <v>67</v>
      </c>
      <c r="L60" s="38">
        <v>0</v>
      </c>
      <c r="M60" s="34">
        <v>0</v>
      </c>
      <c r="N60" s="34">
        <v>1</v>
      </c>
      <c r="O60" s="39">
        <v>1</v>
      </c>
      <c r="P60" s="12">
        <v>1</v>
      </c>
      <c r="Q60" s="5" t="s">
        <v>436</v>
      </c>
      <c r="R60" s="14" t="s">
        <v>9</v>
      </c>
      <c r="S60" s="4" t="s">
        <v>434</v>
      </c>
      <c r="T60" s="84" t="s">
        <v>431</v>
      </c>
      <c r="U60" s="84" t="s">
        <v>78</v>
      </c>
      <c r="V60" s="84">
        <v>2</v>
      </c>
      <c r="W60" s="4"/>
      <c r="X60" s="12">
        <v>1</v>
      </c>
      <c r="Y60" s="4"/>
      <c r="Z60" s="4"/>
      <c r="AA60" s="4"/>
      <c r="AB60" s="4">
        <v>1</v>
      </c>
      <c r="AC60" s="4"/>
      <c r="AD60" s="4">
        <v>1</v>
      </c>
      <c r="AE60" s="4"/>
    </row>
    <row r="61" spans="1:31" x14ac:dyDescent="0.3">
      <c r="A61" s="4"/>
      <c r="B61" s="32">
        <v>2</v>
      </c>
      <c r="C61" s="33">
        <v>85</v>
      </c>
      <c r="D61" s="5" t="s">
        <v>441</v>
      </c>
      <c r="E61" s="33" t="s">
        <v>384</v>
      </c>
      <c r="F61" s="5" t="s">
        <v>385</v>
      </c>
      <c r="G61" s="33" t="s">
        <v>384</v>
      </c>
      <c r="H61" s="71">
        <v>353458.00020000001</v>
      </c>
      <c r="I61" s="71">
        <v>6640975.9998000003</v>
      </c>
      <c r="J61" s="4"/>
      <c r="K61" s="84" t="s">
        <v>67</v>
      </c>
      <c r="L61" s="38">
        <v>0</v>
      </c>
      <c r="M61" s="34">
        <v>0</v>
      </c>
      <c r="N61" s="34">
        <v>1</v>
      </c>
      <c r="O61" s="39">
        <v>1</v>
      </c>
      <c r="P61" s="5"/>
      <c r="Q61" s="5"/>
      <c r="R61" s="14" t="s">
        <v>9</v>
      </c>
      <c r="S61" s="4" t="s">
        <v>434</v>
      </c>
      <c r="T61" s="84" t="s">
        <v>431</v>
      </c>
      <c r="U61" s="84" t="s">
        <v>78</v>
      </c>
      <c r="V61" s="84">
        <v>2</v>
      </c>
      <c r="W61" s="4"/>
      <c r="X61" s="12">
        <v>1</v>
      </c>
      <c r="Y61" s="4"/>
      <c r="Z61" s="4"/>
      <c r="AA61" s="4"/>
      <c r="AB61" s="4"/>
      <c r="AC61" s="4"/>
      <c r="AD61" s="4"/>
      <c r="AE61" s="4"/>
    </row>
    <row r="62" spans="1:31" x14ac:dyDescent="0.3">
      <c r="A62" s="4"/>
      <c r="B62" s="32">
        <v>2</v>
      </c>
      <c r="C62" s="33">
        <v>85</v>
      </c>
      <c r="D62" s="5" t="s">
        <v>441</v>
      </c>
      <c r="E62" s="33" t="s">
        <v>386</v>
      </c>
      <c r="F62" s="5" t="s">
        <v>387</v>
      </c>
      <c r="G62" s="33" t="s">
        <v>386</v>
      </c>
      <c r="H62" s="71">
        <v>353526.523399</v>
      </c>
      <c r="I62" s="71">
        <v>6611152.6213060003</v>
      </c>
      <c r="J62" s="4"/>
      <c r="K62" s="84" t="s">
        <v>67</v>
      </c>
      <c r="L62" s="38">
        <v>0</v>
      </c>
      <c r="M62" s="34">
        <v>0</v>
      </c>
      <c r="N62" s="34">
        <v>1</v>
      </c>
      <c r="O62" s="39">
        <v>1</v>
      </c>
      <c r="P62" s="5"/>
      <c r="Q62" s="5"/>
      <c r="R62" s="14" t="s">
        <v>9</v>
      </c>
      <c r="S62" s="4" t="s">
        <v>434</v>
      </c>
      <c r="T62" s="84" t="s">
        <v>431</v>
      </c>
      <c r="U62" s="84" t="s">
        <v>78</v>
      </c>
      <c r="V62" s="84">
        <v>1</v>
      </c>
      <c r="W62" s="4"/>
      <c r="X62" s="12">
        <v>1</v>
      </c>
      <c r="Y62" s="4"/>
      <c r="Z62" s="4"/>
      <c r="AA62" s="4"/>
      <c r="AB62" s="4"/>
      <c r="AC62" s="4"/>
      <c r="AD62" s="4"/>
      <c r="AE62" s="4"/>
    </row>
    <row r="63" spans="1:31" x14ac:dyDescent="0.3">
      <c r="A63" s="4"/>
      <c r="B63" s="32">
        <v>2</v>
      </c>
      <c r="C63" s="33">
        <v>85</v>
      </c>
      <c r="D63" s="5" t="s">
        <v>441</v>
      </c>
      <c r="E63" s="33" t="s">
        <v>404</v>
      </c>
      <c r="F63" s="5" t="s">
        <v>405</v>
      </c>
      <c r="G63" s="33" t="s">
        <v>404</v>
      </c>
      <c r="H63" s="71">
        <v>371110.445626</v>
      </c>
      <c r="I63" s="71">
        <v>6608032.2785719996</v>
      </c>
      <c r="J63" s="4"/>
      <c r="K63" s="84" t="s">
        <v>67</v>
      </c>
      <c r="L63" s="38">
        <v>0</v>
      </c>
      <c r="M63" s="34">
        <v>0</v>
      </c>
      <c r="N63" s="34">
        <v>1</v>
      </c>
      <c r="O63" s="39">
        <v>1</v>
      </c>
      <c r="P63" s="5"/>
      <c r="Q63" s="5"/>
      <c r="R63" s="14" t="s">
        <v>9</v>
      </c>
      <c r="S63" s="14" t="s">
        <v>434</v>
      </c>
      <c r="T63" s="84" t="s">
        <v>77</v>
      </c>
      <c r="U63" s="84" t="s">
        <v>79</v>
      </c>
      <c r="V63" s="84">
        <v>1</v>
      </c>
      <c r="W63" s="4"/>
      <c r="X63" s="12">
        <v>1</v>
      </c>
      <c r="Y63" s="4"/>
      <c r="Z63" s="4"/>
      <c r="AA63" s="4"/>
      <c r="AB63" s="4"/>
      <c r="AC63" s="4"/>
      <c r="AD63" s="4"/>
      <c r="AE63" s="4"/>
    </row>
    <row r="64" spans="1:31" x14ac:dyDescent="0.3">
      <c r="A64" s="4"/>
      <c r="B64" s="32">
        <v>2</v>
      </c>
      <c r="C64" s="33">
        <v>85</v>
      </c>
      <c r="D64" s="5" t="s">
        <v>441</v>
      </c>
      <c r="E64" s="33" t="s">
        <v>406</v>
      </c>
      <c r="F64" s="5" t="s">
        <v>407</v>
      </c>
      <c r="G64" s="33" t="s">
        <v>406</v>
      </c>
      <c r="H64" s="71">
        <v>383683.17892099998</v>
      </c>
      <c r="I64" s="71">
        <v>6611965.4109929996</v>
      </c>
      <c r="J64" s="4"/>
      <c r="K64" s="84" t="s">
        <v>67</v>
      </c>
      <c r="L64" s="38">
        <v>0</v>
      </c>
      <c r="M64" s="34">
        <v>0</v>
      </c>
      <c r="N64" s="34">
        <v>1</v>
      </c>
      <c r="O64" s="39">
        <v>1</v>
      </c>
      <c r="P64" s="5"/>
      <c r="Q64" s="5"/>
      <c r="R64" s="14" t="s">
        <v>9</v>
      </c>
      <c r="S64" s="14" t="s">
        <v>434</v>
      </c>
      <c r="T64" s="84" t="s">
        <v>77</v>
      </c>
      <c r="U64" s="84" t="s">
        <v>79</v>
      </c>
      <c r="V64" s="84">
        <v>1</v>
      </c>
      <c r="W64" s="4"/>
      <c r="X64" s="12">
        <v>1</v>
      </c>
      <c r="Y64" s="4"/>
      <c r="Z64" s="4"/>
      <c r="AA64" s="4"/>
      <c r="AB64" s="4"/>
      <c r="AC64" s="4"/>
      <c r="AD64" s="4"/>
      <c r="AE64" s="4"/>
    </row>
  </sheetData>
  <autoFilter ref="A2:AD60" xr:uid="{A27D25EB-FC51-4EA3-9B19-719DEE194165}"/>
  <mergeCells count="6">
    <mergeCell ref="S2:X2"/>
    <mergeCell ref="Y2:Z2"/>
    <mergeCell ref="AA2:AB2"/>
    <mergeCell ref="AC2:AD2"/>
    <mergeCell ref="S1:Z1"/>
    <mergeCell ref="AA1:AD1"/>
  </mergeCells>
  <conditionalFormatting sqref="P1:Q1">
    <cfRule type="expression" dxfId="11" priority="6" stopIfTrue="1">
      <formula>ChampActif(IA1)</formula>
    </cfRule>
  </conditionalFormatting>
  <conditionalFormatting sqref="M3:O3">
    <cfRule type="expression" dxfId="10" priority="1" stopIfTrue="1">
      <formula>ChampActif(#REF!)</formula>
    </cfRule>
  </conditionalFormatting>
  <conditionalFormatting sqref="L3">
    <cfRule type="expression" dxfId="9" priority="2" stopIfTrue="1">
      <formula>ChampActif(#REF!)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B186"/>
  <sheetViews>
    <sheetView tabSelected="1" zoomScale="70" zoomScaleNormal="70" workbookViewId="0">
      <pane xSplit="12960" topLeftCell="AE1"/>
      <selection activeCell="O26" sqref="O26"/>
      <selection pane="topRight" activeCell="AE170" sqref="A6:AE170"/>
    </sheetView>
  </sheetViews>
  <sheetFormatPr baseColWidth="10" defaultRowHeight="14.4" x14ac:dyDescent="0.3"/>
  <cols>
    <col min="1" max="1" width="10" customWidth="1"/>
    <col min="2" max="2" width="5.88671875" customWidth="1"/>
    <col min="3" max="3" width="6.6640625" customWidth="1"/>
    <col min="5" max="5" width="23.44140625" style="1" customWidth="1"/>
    <col min="7" max="7" width="21.77734375" customWidth="1"/>
    <col min="8" max="8" width="10.44140625" customWidth="1"/>
    <col min="9" max="9" width="15.6640625" bestFit="1" customWidth="1"/>
    <col min="10" max="10" width="6.44140625" customWidth="1"/>
    <col min="12" max="13" width="6.6640625" customWidth="1"/>
    <col min="14" max="16" width="6.6640625" style="1" customWidth="1"/>
    <col min="17" max="17" width="8.44140625" style="1" customWidth="1"/>
    <col min="18" max="18" width="11.44140625" style="1"/>
    <col min="19" max="19" width="10.88671875" customWidth="1"/>
    <col min="20" max="20" width="11.88671875" bestFit="1" customWidth="1"/>
    <col min="21" max="21" width="12" customWidth="1"/>
    <col min="22" max="22" width="17" bestFit="1" customWidth="1"/>
    <col min="25" max="26" width="21.33203125" customWidth="1"/>
    <col min="29" max="30" width="21.33203125" customWidth="1"/>
    <col min="31" max="31" width="32" customWidth="1"/>
    <col min="32" max="32" width="8.88671875" bestFit="1" customWidth="1"/>
    <col min="34" max="34" width="8.88671875" bestFit="1" customWidth="1"/>
    <col min="35" max="35" width="12.5546875" customWidth="1"/>
    <col min="36" max="36" width="8.88671875" bestFit="1" customWidth="1"/>
    <col min="38" max="38" width="8.88671875" bestFit="1" customWidth="1"/>
    <col min="40" max="40" width="8.88671875" bestFit="1" customWidth="1"/>
    <col min="42" max="42" width="8.88671875" bestFit="1" customWidth="1"/>
    <col min="44" max="44" width="8.88671875" bestFit="1" customWidth="1"/>
    <col min="45" max="45" width="12.6640625" customWidth="1"/>
    <col min="46" max="46" width="8.88671875" bestFit="1" customWidth="1"/>
    <col min="48" max="48" width="8.88671875" bestFit="1" customWidth="1"/>
    <col min="50" max="50" width="8.88671875" bestFit="1" customWidth="1"/>
    <col min="52" max="52" width="14.6640625" bestFit="1" customWidth="1"/>
    <col min="53" max="53" width="14.6640625" customWidth="1"/>
    <col min="54" max="54" width="48.33203125" customWidth="1"/>
  </cols>
  <sheetData>
    <row r="1" spans="1:54" ht="23.4" x14ac:dyDescent="0.45">
      <c r="A1" s="7" t="s">
        <v>66</v>
      </c>
      <c r="B1" s="7"/>
      <c r="C1" s="7"/>
      <c r="D1" s="7"/>
      <c r="E1" s="7"/>
      <c r="F1" s="7"/>
      <c r="G1" s="7"/>
      <c r="H1" s="7"/>
      <c r="I1" s="7"/>
      <c r="J1" s="7"/>
      <c r="K1" s="22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</row>
    <row r="2" spans="1:54" ht="21" x14ac:dyDescent="0.4">
      <c r="A2" s="20" t="s">
        <v>71</v>
      </c>
      <c r="B2" s="8"/>
      <c r="C2" s="8"/>
      <c r="D2" s="8"/>
      <c r="E2" s="8"/>
      <c r="F2" s="8"/>
      <c r="G2" s="8"/>
      <c r="H2" s="8"/>
      <c r="I2" s="8"/>
      <c r="J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</row>
    <row r="3" spans="1:54" x14ac:dyDescent="0.3"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</row>
    <row r="4" spans="1:54" ht="30" customHeight="1" x14ac:dyDescent="0.3">
      <c r="S4" s="18"/>
      <c r="T4" s="18"/>
      <c r="U4" s="18"/>
      <c r="V4" s="18"/>
      <c r="W4" s="18"/>
      <c r="X4" s="18"/>
      <c r="Y4" s="16"/>
      <c r="Z4" s="16"/>
      <c r="AA4" s="18"/>
      <c r="AB4" s="18"/>
      <c r="AC4" s="16"/>
      <c r="AD4" s="16"/>
      <c r="AF4" s="97" t="s">
        <v>69</v>
      </c>
      <c r="AG4" s="98"/>
      <c r="AH4" s="98"/>
      <c r="AI4" s="98"/>
      <c r="AJ4" s="98"/>
      <c r="AK4" s="98"/>
      <c r="AL4" s="98"/>
      <c r="AM4" s="98"/>
      <c r="AN4" s="98"/>
      <c r="AO4" s="98"/>
      <c r="AP4" s="98"/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9"/>
    </row>
    <row r="5" spans="1:54" s="9" customFormat="1" ht="15" customHeight="1" x14ac:dyDescent="0.3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4"/>
      <c r="Q5" s="24"/>
      <c r="R5" s="23"/>
      <c r="S5" s="90" t="s">
        <v>64</v>
      </c>
      <c r="T5" s="91"/>
      <c r="U5" s="91"/>
      <c r="V5" s="91"/>
      <c r="W5" s="91"/>
      <c r="X5" s="91"/>
      <c r="Y5" s="91"/>
      <c r="Z5" s="92"/>
      <c r="AA5" s="90" t="s">
        <v>63</v>
      </c>
      <c r="AB5" s="91"/>
      <c r="AC5" s="91"/>
      <c r="AD5" s="92"/>
      <c r="AE5" s="25"/>
      <c r="AF5" s="95" t="s">
        <v>15</v>
      </c>
      <c r="AG5" s="96"/>
      <c r="AH5" s="95" t="s">
        <v>16</v>
      </c>
      <c r="AI5" s="96"/>
      <c r="AJ5" s="95" t="s">
        <v>17</v>
      </c>
      <c r="AK5" s="96"/>
      <c r="AL5" s="95" t="s">
        <v>18</v>
      </c>
      <c r="AM5" s="96"/>
      <c r="AN5" s="95" t="s">
        <v>19</v>
      </c>
      <c r="AO5" s="96"/>
      <c r="AP5" s="95" t="s">
        <v>20</v>
      </c>
      <c r="AQ5" s="96"/>
      <c r="AR5" s="95" t="s">
        <v>21</v>
      </c>
      <c r="AS5" s="96"/>
      <c r="AT5" s="95" t="s">
        <v>22</v>
      </c>
      <c r="AU5" s="96"/>
      <c r="AV5" s="95" t="s">
        <v>23</v>
      </c>
      <c r="AW5" s="96"/>
      <c r="AX5" s="101" t="s">
        <v>24</v>
      </c>
      <c r="AY5" s="102"/>
      <c r="AZ5" s="93"/>
      <c r="BA5" s="103"/>
      <c r="BB5" s="105"/>
    </row>
    <row r="6" spans="1:54" s="9" customFormat="1" ht="57" customHeight="1" x14ac:dyDescent="0.3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4"/>
      <c r="Q6" s="24"/>
      <c r="R6" s="25"/>
      <c r="S6" s="85" t="s">
        <v>40</v>
      </c>
      <c r="T6" s="86"/>
      <c r="U6" s="86"/>
      <c r="V6" s="86"/>
      <c r="W6" s="86"/>
      <c r="X6" s="87"/>
      <c r="Y6" s="88" t="s">
        <v>62</v>
      </c>
      <c r="Z6" s="89"/>
      <c r="AA6" s="85" t="s">
        <v>40</v>
      </c>
      <c r="AB6" s="86"/>
      <c r="AC6" s="88" t="s">
        <v>62</v>
      </c>
      <c r="AD6" s="89"/>
      <c r="AE6" s="29"/>
      <c r="AF6" s="95" t="s">
        <v>30</v>
      </c>
      <c r="AG6" s="96"/>
      <c r="AH6" s="95" t="s">
        <v>31</v>
      </c>
      <c r="AI6" s="96"/>
      <c r="AJ6" s="95" t="s">
        <v>32</v>
      </c>
      <c r="AK6" s="96"/>
      <c r="AL6" s="95" t="s">
        <v>33</v>
      </c>
      <c r="AM6" s="96"/>
      <c r="AN6" s="95" t="s">
        <v>34</v>
      </c>
      <c r="AO6" s="96"/>
      <c r="AP6" s="95" t="s">
        <v>35</v>
      </c>
      <c r="AQ6" s="96"/>
      <c r="AR6" s="95" t="s">
        <v>36</v>
      </c>
      <c r="AS6" s="96"/>
      <c r="AT6" s="95" t="s">
        <v>37</v>
      </c>
      <c r="AU6" s="96"/>
      <c r="AV6" s="95" t="s">
        <v>38</v>
      </c>
      <c r="AW6" s="96"/>
      <c r="AX6" s="100" t="s">
        <v>39</v>
      </c>
      <c r="AY6" s="100"/>
      <c r="AZ6" s="94"/>
      <c r="BA6" s="104"/>
      <c r="BB6" s="106"/>
    </row>
    <row r="7" spans="1:54" s="9" customFormat="1" ht="92.4" x14ac:dyDescent="0.3">
      <c r="A7" s="44" t="s">
        <v>59</v>
      </c>
      <c r="B7" s="44" t="s">
        <v>4</v>
      </c>
      <c r="C7" s="45" t="s">
        <v>0</v>
      </c>
      <c r="D7" s="45" t="s">
        <v>440</v>
      </c>
      <c r="E7" s="45" t="s">
        <v>10</v>
      </c>
      <c r="F7" s="45" t="s">
        <v>5</v>
      </c>
      <c r="G7" s="45" t="s">
        <v>6</v>
      </c>
      <c r="H7" s="45" t="s">
        <v>1</v>
      </c>
      <c r="I7" s="45" t="s">
        <v>2</v>
      </c>
      <c r="J7" s="45" t="s">
        <v>14</v>
      </c>
      <c r="K7" s="46" t="s">
        <v>72</v>
      </c>
      <c r="L7" s="19" t="s">
        <v>65</v>
      </c>
      <c r="M7" s="19" t="s">
        <v>11</v>
      </c>
      <c r="N7" s="19" t="s">
        <v>12</v>
      </c>
      <c r="O7" s="47" t="s">
        <v>13</v>
      </c>
      <c r="P7" s="19" t="s">
        <v>73</v>
      </c>
      <c r="Q7" s="19" t="s">
        <v>29</v>
      </c>
      <c r="R7" s="48" t="s">
        <v>7</v>
      </c>
      <c r="S7" s="10" t="s">
        <v>3</v>
      </c>
      <c r="T7" s="10" t="s">
        <v>74</v>
      </c>
      <c r="U7" s="10" t="s">
        <v>75</v>
      </c>
      <c r="V7" s="10" t="s">
        <v>76</v>
      </c>
      <c r="W7" s="10" t="s">
        <v>452</v>
      </c>
      <c r="X7" s="10" t="s">
        <v>453</v>
      </c>
      <c r="Y7" s="11" t="s">
        <v>454</v>
      </c>
      <c r="Z7" s="11" t="s">
        <v>455</v>
      </c>
      <c r="AA7" s="10" t="s">
        <v>456</v>
      </c>
      <c r="AB7" s="10" t="s">
        <v>457</v>
      </c>
      <c r="AC7" s="11" t="s">
        <v>458</v>
      </c>
      <c r="AD7" s="30" t="s">
        <v>459</v>
      </c>
      <c r="AE7" s="49" t="s">
        <v>28</v>
      </c>
      <c r="AF7" s="27" t="s">
        <v>43</v>
      </c>
      <c r="AG7" s="26" t="s">
        <v>45</v>
      </c>
      <c r="AH7" s="26" t="s">
        <v>43</v>
      </c>
      <c r="AI7" s="26" t="s">
        <v>45</v>
      </c>
      <c r="AJ7" s="26" t="s">
        <v>43</v>
      </c>
      <c r="AK7" s="26" t="s">
        <v>45</v>
      </c>
      <c r="AL7" s="26" t="s">
        <v>43</v>
      </c>
      <c r="AM7" s="26" t="s">
        <v>45</v>
      </c>
      <c r="AN7" s="26" t="s">
        <v>43</v>
      </c>
      <c r="AO7" s="26" t="s">
        <v>45</v>
      </c>
      <c r="AP7" s="26" t="s">
        <v>43</v>
      </c>
      <c r="AQ7" s="26" t="s">
        <v>45</v>
      </c>
      <c r="AR7" s="26" t="s">
        <v>43</v>
      </c>
      <c r="AS7" s="26" t="s">
        <v>45</v>
      </c>
      <c r="AT7" s="26" t="s">
        <v>43</v>
      </c>
      <c r="AU7" s="26" t="s">
        <v>45</v>
      </c>
      <c r="AV7" s="26" t="s">
        <v>43</v>
      </c>
      <c r="AW7" s="26" t="s">
        <v>45</v>
      </c>
      <c r="AX7" s="26" t="s">
        <v>43</v>
      </c>
      <c r="AY7" s="26" t="s">
        <v>45</v>
      </c>
      <c r="AZ7" s="21" t="s">
        <v>25</v>
      </c>
      <c r="BA7" s="21" t="s">
        <v>58</v>
      </c>
      <c r="BB7" s="21" t="s">
        <v>28</v>
      </c>
    </row>
    <row r="8" spans="1:54" s="13" customFormat="1" hidden="1" x14ac:dyDescent="0.3">
      <c r="A8" s="12"/>
      <c r="B8" s="32">
        <v>2</v>
      </c>
      <c r="C8" s="32" t="s">
        <v>80</v>
      </c>
      <c r="D8" s="14" t="s">
        <v>444</v>
      </c>
      <c r="E8" s="33" t="s">
        <v>81</v>
      </c>
      <c r="F8" s="14" t="s">
        <v>82</v>
      </c>
      <c r="G8" s="33" t="s">
        <v>81</v>
      </c>
      <c r="H8" s="71">
        <v>227475</v>
      </c>
      <c r="I8" s="71">
        <v>6859528.9997979999</v>
      </c>
      <c r="J8" s="12"/>
      <c r="K8" s="28" t="s">
        <v>428</v>
      </c>
      <c r="L8" s="34">
        <v>0</v>
      </c>
      <c r="M8" s="34">
        <v>1</v>
      </c>
      <c r="N8" s="34">
        <v>1</v>
      </c>
      <c r="O8" s="35">
        <v>0</v>
      </c>
      <c r="P8" s="12"/>
      <c r="Q8" s="12"/>
      <c r="R8" s="14" t="s">
        <v>8</v>
      </c>
      <c r="S8" s="12" t="s">
        <v>433</v>
      </c>
      <c r="T8" s="28" t="s">
        <v>77</v>
      </c>
      <c r="U8" s="28" t="s">
        <v>78</v>
      </c>
      <c r="V8" s="28">
        <v>1</v>
      </c>
      <c r="W8" s="12">
        <v>1</v>
      </c>
      <c r="X8" s="12">
        <v>1</v>
      </c>
      <c r="Y8" s="12"/>
      <c r="Z8" s="12">
        <v>1</v>
      </c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42" t="s">
        <v>41</v>
      </c>
      <c r="BA8" s="12"/>
      <c r="BB8" s="12"/>
    </row>
    <row r="9" spans="1:54" s="13" customFormat="1" x14ac:dyDescent="0.3">
      <c r="A9" s="12"/>
      <c r="B9" s="32">
        <v>2</v>
      </c>
      <c r="C9" s="32" t="s">
        <v>80</v>
      </c>
      <c r="D9" s="5" t="s">
        <v>441</v>
      </c>
      <c r="E9" s="33" t="s">
        <v>83</v>
      </c>
      <c r="F9" s="14" t="s">
        <v>84</v>
      </c>
      <c r="G9" s="33" t="s">
        <v>83</v>
      </c>
      <c r="H9" s="71">
        <v>304012.99979999999</v>
      </c>
      <c r="I9" s="71">
        <v>6807799.9997979999</v>
      </c>
      <c r="J9" s="12"/>
      <c r="K9" s="28" t="s">
        <v>67</v>
      </c>
      <c r="L9" s="34">
        <v>0</v>
      </c>
      <c r="M9" s="34">
        <v>0</v>
      </c>
      <c r="N9" s="34">
        <v>1</v>
      </c>
      <c r="O9" s="36">
        <v>1</v>
      </c>
      <c r="P9" s="12"/>
      <c r="Q9" s="12"/>
      <c r="R9" s="14" t="s">
        <v>9</v>
      </c>
      <c r="S9" s="12" t="s">
        <v>433</v>
      </c>
      <c r="T9" s="28" t="s">
        <v>431</v>
      </c>
      <c r="U9" s="28" t="s">
        <v>78</v>
      </c>
      <c r="V9" s="28">
        <v>2</v>
      </c>
      <c r="W9" s="12"/>
      <c r="X9" s="12">
        <v>1</v>
      </c>
      <c r="Y9" s="12"/>
      <c r="Z9" s="12"/>
      <c r="AA9" s="12"/>
      <c r="AB9" s="12"/>
      <c r="AC9" s="12"/>
      <c r="AD9" s="12">
        <v>1</v>
      </c>
      <c r="AE9" s="12"/>
      <c r="AF9" s="12"/>
      <c r="AG9" s="12" t="s">
        <v>44</v>
      </c>
      <c r="AH9" s="12"/>
      <c r="AI9" s="12" t="s">
        <v>44</v>
      </c>
      <c r="AJ9" s="12">
        <v>1</v>
      </c>
      <c r="AK9" s="12">
        <v>1260</v>
      </c>
      <c r="AL9" s="12"/>
      <c r="AM9" s="12" t="s">
        <v>44</v>
      </c>
      <c r="AN9" s="12"/>
      <c r="AO9" s="12" t="s">
        <v>44</v>
      </c>
      <c r="AP9" s="12"/>
      <c r="AQ9" s="12" t="s">
        <v>44</v>
      </c>
      <c r="AR9" s="12"/>
      <c r="AS9" s="12" t="s">
        <v>44</v>
      </c>
      <c r="AT9" s="12">
        <v>1</v>
      </c>
      <c r="AU9" s="12">
        <v>12</v>
      </c>
      <c r="AV9" s="12">
        <v>1</v>
      </c>
      <c r="AW9" s="12">
        <v>126</v>
      </c>
      <c r="AX9" s="12">
        <v>1</v>
      </c>
      <c r="AY9" s="12">
        <v>108</v>
      </c>
      <c r="AZ9" s="42" t="s">
        <v>27</v>
      </c>
      <c r="BA9" s="12"/>
      <c r="BB9" s="12"/>
    </row>
    <row r="10" spans="1:54" hidden="1" x14ac:dyDescent="0.3">
      <c r="A10" s="4"/>
      <c r="B10" s="32">
        <v>2</v>
      </c>
      <c r="C10" s="32">
        <v>22</v>
      </c>
      <c r="D10" s="14" t="s">
        <v>444</v>
      </c>
      <c r="E10" s="33" t="s">
        <v>85</v>
      </c>
      <c r="F10" s="5" t="s">
        <v>86</v>
      </c>
      <c r="G10" s="33" t="s">
        <v>85</v>
      </c>
      <c r="H10" s="71">
        <v>225870</v>
      </c>
      <c r="I10" s="71">
        <v>6839335</v>
      </c>
      <c r="J10" s="4"/>
      <c r="K10" s="28" t="s">
        <v>428</v>
      </c>
      <c r="L10" s="34">
        <v>1</v>
      </c>
      <c r="M10" s="34">
        <v>0</v>
      </c>
      <c r="N10" s="34">
        <v>0</v>
      </c>
      <c r="O10" s="35">
        <v>0</v>
      </c>
      <c r="P10" s="4"/>
      <c r="Q10" s="5"/>
      <c r="R10" s="5" t="s">
        <v>8</v>
      </c>
      <c r="S10" s="12" t="s">
        <v>433</v>
      </c>
      <c r="T10" s="28" t="s">
        <v>431</v>
      </c>
      <c r="U10" s="28" t="s">
        <v>78</v>
      </c>
      <c r="V10" s="28">
        <v>2</v>
      </c>
      <c r="W10" s="12">
        <v>1</v>
      </c>
      <c r="X10" s="12">
        <v>1</v>
      </c>
      <c r="Y10" s="4"/>
      <c r="Z10" s="4">
        <v>1</v>
      </c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12"/>
      <c r="AS10" s="4"/>
      <c r="AT10" s="4"/>
      <c r="AU10" s="4"/>
      <c r="AV10" s="12"/>
      <c r="AW10" s="4"/>
      <c r="AX10" s="12"/>
      <c r="AY10" s="4"/>
      <c r="AZ10" s="43"/>
      <c r="BA10" s="4"/>
      <c r="BB10" s="4"/>
    </row>
    <row r="11" spans="1:54" hidden="1" x14ac:dyDescent="0.3">
      <c r="A11" s="4"/>
      <c r="B11" s="32">
        <v>2</v>
      </c>
      <c r="C11" s="32" t="s">
        <v>80</v>
      </c>
      <c r="D11" s="5" t="s">
        <v>441</v>
      </c>
      <c r="E11" s="33" t="s">
        <v>87</v>
      </c>
      <c r="F11" s="5" t="s">
        <v>88</v>
      </c>
      <c r="G11" s="33" t="s">
        <v>87</v>
      </c>
      <c r="H11" s="71">
        <v>272022</v>
      </c>
      <c r="I11" s="71">
        <v>6794833.9997979999</v>
      </c>
      <c r="J11" s="4"/>
      <c r="K11" s="28" t="s">
        <v>68</v>
      </c>
      <c r="L11" s="34">
        <v>0</v>
      </c>
      <c r="M11" s="34">
        <v>0</v>
      </c>
      <c r="N11" s="34">
        <v>1</v>
      </c>
      <c r="O11" s="35">
        <v>0</v>
      </c>
      <c r="P11" s="4"/>
      <c r="Q11" s="5"/>
      <c r="R11" s="14" t="s">
        <v>9</v>
      </c>
      <c r="S11" s="12" t="s">
        <v>433</v>
      </c>
      <c r="T11" s="28" t="s">
        <v>431</v>
      </c>
      <c r="U11" s="28" t="s">
        <v>78</v>
      </c>
      <c r="V11" s="28">
        <v>1</v>
      </c>
      <c r="W11" s="12">
        <v>1</v>
      </c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>
        <v>1</v>
      </c>
      <c r="AI11" s="4">
        <v>768</v>
      </c>
      <c r="AJ11" s="4"/>
      <c r="AK11" s="4"/>
      <c r="AL11" s="4"/>
      <c r="AM11" s="4"/>
      <c r="AN11" s="4"/>
      <c r="AO11" s="4"/>
      <c r="AP11" s="4"/>
      <c r="AQ11" s="4"/>
      <c r="AR11" s="12" t="s">
        <v>26</v>
      </c>
      <c r="AS11" s="4"/>
      <c r="AT11" s="12"/>
      <c r="AU11" s="12">
        <v>12</v>
      </c>
      <c r="AV11" s="12"/>
      <c r="AW11" s="12">
        <v>126</v>
      </c>
      <c r="AX11" s="12"/>
      <c r="AY11" s="12">
        <v>108</v>
      </c>
      <c r="AZ11" s="43"/>
      <c r="BA11" s="4"/>
      <c r="BB11" s="4"/>
    </row>
    <row r="12" spans="1:54" x14ac:dyDescent="0.3">
      <c r="A12" s="4"/>
      <c r="B12" s="32">
        <v>2</v>
      </c>
      <c r="C12" s="32" t="s">
        <v>80</v>
      </c>
      <c r="D12" s="5" t="s">
        <v>441</v>
      </c>
      <c r="E12" s="33" t="s">
        <v>451</v>
      </c>
      <c r="F12" s="5" t="s">
        <v>90</v>
      </c>
      <c r="G12" s="33" t="s">
        <v>89</v>
      </c>
      <c r="H12" s="71">
        <v>279751.00020000001</v>
      </c>
      <c r="I12" s="71">
        <v>6794122.0001980001</v>
      </c>
      <c r="J12" s="4"/>
      <c r="K12" s="28" t="s">
        <v>67</v>
      </c>
      <c r="L12" s="34">
        <v>0</v>
      </c>
      <c r="M12" s="34">
        <v>0</v>
      </c>
      <c r="N12" s="34">
        <v>1</v>
      </c>
      <c r="O12" s="36">
        <v>1</v>
      </c>
      <c r="P12" s="4"/>
      <c r="Q12" s="5"/>
      <c r="R12" s="14" t="s">
        <v>9</v>
      </c>
      <c r="S12" s="12" t="s">
        <v>433</v>
      </c>
      <c r="T12" s="28" t="s">
        <v>77</v>
      </c>
      <c r="U12" s="28" t="s">
        <v>78</v>
      </c>
      <c r="V12" s="28">
        <v>1</v>
      </c>
      <c r="W12" s="4"/>
      <c r="X12" s="12">
        <v>1</v>
      </c>
      <c r="Y12" s="4"/>
      <c r="Z12" s="4"/>
      <c r="AA12" s="4"/>
      <c r="AB12" s="4"/>
      <c r="AC12" s="4"/>
      <c r="AD12" s="4"/>
      <c r="AE12" s="4"/>
      <c r="AF12" s="4"/>
      <c r="AG12" s="4"/>
      <c r="AH12" s="4">
        <v>1</v>
      </c>
      <c r="AI12" s="4">
        <v>768</v>
      </c>
      <c r="AJ12" s="4"/>
      <c r="AK12" s="4"/>
      <c r="AL12" s="4"/>
      <c r="AM12" s="4"/>
      <c r="AN12" s="4"/>
      <c r="AO12" s="4"/>
      <c r="AP12" s="4"/>
      <c r="AQ12" s="4"/>
      <c r="AR12" s="12"/>
      <c r="AS12" s="4"/>
      <c r="AT12" s="12">
        <v>1</v>
      </c>
      <c r="AU12" s="12">
        <v>12</v>
      </c>
      <c r="AV12" s="12">
        <v>1</v>
      </c>
      <c r="AW12" s="12">
        <v>126</v>
      </c>
      <c r="AX12" s="12">
        <v>1</v>
      </c>
      <c r="AY12" s="12">
        <v>108</v>
      </c>
      <c r="AZ12" s="43"/>
      <c r="BA12" s="4"/>
      <c r="BB12" s="4"/>
    </row>
    <row r="13" spans="1:54" x14ac:dyDescent="0.3">
      <c r="A13" s="4"/>
      <c r="B13" s="32">
        <v>2</v>
      </c>
      <c r="C13" s="32" t="s">
        <v>80</v>
      </c>
      <c r="D13" s="5" t="s">
        <v>441</v>
      </c>
      <c r="E13" s="33" t="s">
        <v>91</v>
      </c>
      <c r="F13" s="5" t="s">
        <v>92</v>
      </c>
      <c r="G13" s="33" t="s">
        <v>91</v>
      </c>
      <c r="H13" s="71">
        <v>288694.99979999999</v>
      </c>
      <c r="I13" s="71">
        <v>6835075.0001980001</v>
      </c>
      <c r="J13" s="4"/>
      <c r="K13" s="28" t="s">
        <v>67</v>
      </c>
      <c r="L13" s="34">
        <v>0</v>
      </c>
      <c r="M13" s="34">
        <v>0</v>
      </c>
      <c r="N13" s="34">
        <v>1</v>
      </c>
      <c r="O13" s="36">
        <v>1</v>
      </c>
      <c r="P13" s="4"/>
      <c r="Q13" s="5"/>
      <c r="R13" s="14" t="s">
        <v>9</v>
      </c>
      <c r="S13" s="12" t="s">
        <v>433</v>
      </c>
      <c r="T13" s="28" t="s">
        <v>77</v>
      </c>
      <c r="U13" s="28" t="s">
        <v>78</v>
      </c>
      <c r="V13" s="28">
        <v>1</v>
      </c>
      <c r="W13" s="4"/>
      <c r="X13" s="12">
        <v>1</v>
      </c>
      <c r="Y13" s="4"/>
      <c r="Z13" s="4"/>
      <c r="AA13" s="4"/>
      <c r="AB13" s="4"/>
      <c r="AC13" s="4"/>
      <c r="AD13" s="4"/>
      <c r="AE13" s="4"/>
      <c r="AF13" s="4"/>
      <c r="AG13" s="4"/>
      <c r="AH13" s="4">
        <v>1</v>
      </c>
      <c r="AI13" s="4">
        <v>768</v>
      </c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12">
        <v>1</v>
      </c>
      <c r="AU13" s="12">
        <v>12</v>
      </c>
      <c r="AV13" s="12">
        <v>1</v>
      </c>
      <c r="AW13" s="12">
        <v>126</v>
      </c>
      <c r="AX13" s="12">
        <v>1</v>
      </c>
      <c r="AY13" s="12">
        <v>108</v>
      </c>
      <c r="AZ13" s="43"/>
      <c r="BA13" s="4"/>
      <c r="BB13" s="4"/>
    </row>
    <row r="14" spans="1:54" hidden="1" x14ac:dyDescent="0.3">
      <c r="A14" s="4"/>
      <c r="B14" s="32">
        <v>2</v>
      </c>
      <c r="C14" s="32" t="s">
        <v>80</v>
      </c>
      <c r="D14" s="14" t="s">
        <v>444</v>
      </c>
      <c r="E14" s="33" t="s">
        <v>93</v>
      </c>
      <c r="F14" s="5" t="s">
        <v>94</v>
      </c>
      <c r="G14" s="33" t="s">
        <v>93</v>
      </c>
      <c r="H14" s="71">
        <v>250324.57532999999</v>
      </c>
      <c r="I14" s="71">
        <v>6834733.126588</v>
      </c>
      <c r="J14" s="4"/>
      <c r="K14" s="28" t="s">
        <v>428</v>
      </c>
      <c r="L14" s="34">
        <v>1</v>
      </c>
      <c r="M14" s="34">
        <v>0</v>
      </c>
      <c r="N14" s="34">
        <v>1</v>
      </c>
      <c r="O14" s="36">
        <v>1</v>
      </c>
      <c r="P14" s="4"/>
      <c r="Q14" s="5"/>
      <c r="R14" s="5" t="s">
        <v>8</v>
      </c>
      <c r="S14" s="12" t="s">
        <v>433</v>
      </c>
      <c r="T14" s="28" t="s">
        <v>431</v>
      </c>
      <c r="U14" s="28" t="s">
        <v>78</v>
      </c>
      <c r="V14" s="28">
        <v>2</v>
      </c>
      <c r="W14" s="12">
        <v>1</v>
      </c>
      <c r="X14" s="12">
        <v>1</v>
      </c>
      <c r="Y14" s="4"/>
      <c r="Z14" s="4">
        <v>1</v>
      </c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12"/>
      <c r="AW14" s="4"/>
      <c r="AX14" s="12"/>
      <c r="AY14" s="4"/>
      <c r="AZ14" s="43"/>
      <c r="BA14" s="4"/>
      <c r="BB14" s="4"/>
    </row>
    <row r="15" spans="1:54" hidden="1" x14ac:dyDescent="0.3">
      <c r="A15" s="4"/>
      <c r="B15" s="32">
        <v>2</v>
      </c>
      <c r="C15" s="32" t="s">
        <v>80</v>
      </c>
      <c r="D15" s="5" t="s">
        <v>441</v>
      </c>
      <c r="E15" s="33" t="s">
        <v>95</v>
      </c>
      <c r="F15" s="5" t="s">
        <v>96</v>
      </c>
      <c r="G15" s="33" t="s">
        <v>95</v>
      </c>
      <c r="H15" s="71">
        <v>227562.26761800001</v>
      </c>
      <c r="I15" s="71">
        <v>6873390.6518700002</v>
      </c>
      <c r="J15" s="4"/>
      <c r="K15" s="28" t="s">
        <v>68</v>
      </c>
      <c r="L15" s="34">
        <v>0</v>
      </c>
      <c r="M15" s="34">
        <v>0</v>
      </c>
      <c r="N15" s="34">
        <v>1</v>
      </c>
      <c r="O15" s="35">
        <v>0</v>
      </c>
      <c r="P15" s="4"/>
      <c r="Q15" s="5"/>
      <c r="R15" s="14" t="s">
        <v>9</v>
      </c>
      <c r="S15" s="12" t="s">
        <v>433</v>
      </c>
      <c r="T15" s="28" t="s">
        <v>431</v>
      </c>
      <c r="U15" s="28" t="s">
        <v>78</v>
      </c>
      <c r="V15" s="28">
        <v>1</v>
      </c>
      <c r="W15" s="12">
        <v>1</v>
      </c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>
        <v>1</v>
      </c>
      <c r="AI15" s="4">
        <v>768</v>
      </c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12"/>
      <c r="AU15" s="12">
        <v>12</v>
      </c>
      <c r="AV15" s="12"/>
      <c r="AW15" s="12">
        <v>126</v>
      </c>
      <c r="AX15" s="12"/>
      <c r="AY15" s="12">
        <v>108</v>
      </c>
      <c r="AZ15" s="43"/>
      <c r="BA15" s="4"/>
      <c r="BB15" s="4"/>
    </row>
    <row r="16" spans="1:54" hidden="1" x14ac:dyDescent="0.3">
      <c r="A16" s="4"/>
      <c r="B16" s="32">
        <v>2</v>
      </c>
      <c r="C16" s="32" t="s">
        <v>80</v>
      </c>
      <c r="D16" s="5" t="s">
        <v>441</v>
      </c>
      <c r="E16" s="33" t="s">
        <v>97</v>
      </c>
      <c r="F16" s="5" t="s">
        <v>98</v>
      </c>
      <c r="G16" s="33" t="s">
        <v>97</v>
      </c>
      <c r="H16" s="71">
        <v>292162.99979999999</v>
      </c>
      <c r="I16" s="71">
        <v>6842218.0001980001</v>
      </c>
      <c r="J16" s="4"/>
      <c r="K16" s="28" t="s">
        <v>68</v>
      </c>
      <c r="L16" s="34">
        <v>0</v>
      </c>
      <c r="M16" s="34">
        <v>0</v>
      </c>
      <c r="N16" s="34">
        <v>1</v>
      </c>
      <c r="O16" s="35">
        <v>0</v>
      </c>
      <c r="P16" s="4"/>
      <c r="Q16" s="5"/>
      <c r="R16" s="14" t="s">
        <v>9</v>
      </c>
      <c r="S16" s="4" t="s">
        <v>433</v>
      </c>
      <c r="T16" s="28" t="s">
        <v>431</v>
      </c>
      <c r="U16" s="28" t="s">
        <v>78</v>
      </c>
      <c r="V16" s="28">
        <v>1</v>
      </c>
      <c r="W16" s="12">
        <v>1</v>
      </c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>
        <v>1</v>
      </c>
      <c r="AI16" s="4">
        <v>768</v>
      </c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12"/>
      <c r="AU16" s="12">
        <v>12</v>
      </c>
      <c r="AV16" s="12"/>
      <c r="AW16" s="12">
        <v>126</v>
      </c>
      <c r="AX16" s="12"/>
      <c r="AY16" s="12">
        <v>108</v>
      </c>
      <c r="AZ16" s="43"/>
      <c r="BA16" s="4"/>
      <c r="BB16" s="4"/>
    </row>
    <row r="17" spans="1:54" hidden="1" x14ac:dyDescent="0.3">
      <c r="A17" s="4"/>
      <c r="B17" s="32">
        <v>2</v>
      </c>
      <c r="C17" s="32" t="s">
        <v>80</v>
      </c>
      <c r="D17" s="5" t="s">
        <v>441</v>
      </c>
      <c r="E17" s="33" t="s">
        <v>99</v>
      </c>
      <c r="F17" s="5" t="s">
        <v>100</v>
      </c>
      <c r="G17" s="33" t="s">
        <v>99</v>
      </c>
      <c r="H17" s="71">
        <v>216024</v>
      </c>
      <c r="I17" s="71">
        <v>6858799.9997979999</v>
      </c>
      <c r="J17" s="4"/>
      <c r="K17" s="28" t="s">
        <v>68</v>
      </c>
      <c r="L17" s="34">
        <v>0</v>
      </c>
      <c r="M17" s="34">
        <v>0</v>
      </c>
      <c r="N17" s="34">
        <v>1</v>
      </c>
      <c r="O17" s="36">
        <v>1</v>
      </c>
      <c r="P17" s="4"/>
      <c r="Q17" s="5"/>
      <c r="R17" s="14" t="s">
        <v>9</v>
      </c>
      <c r="S17" s="12" t="s">
        <v>433</v>
      </c>
      <c r="T17" s="28" t="s">
        <v>431</v>
      </c>
      <c r="U17" s="28" t="s">
        <v>78</v>
      </c>
      <c r="V17" s="28">
        <v>2</v>
      </c>
      <c r="W17" s="12">
        <v>1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>
        <v>1</v>
      </c>
      <c r="AK17" s="4">
        <v>1260</v>
      </c>
      <c r="AL17" s="4"/>
      <c r="AM17" s="4"/>
      <c r="AN17" s="4"/>
      <c r="AO17" s="4"/>
      <c r="AP17" s="4"/>
      <c r="AQ17" s="4"/>
      <c r="AR17" s="4"/>
      <c r="AS17" s="4"/>
      <c r="AT17" s="12"/>
      <c r="AU17" s="12">
        <v>12</v>
      </c>
      <c r="AV17" s="12"/>
      <c r="AW17" s="12">
        <v>126</v>
      </c>
      <c r="AX17" s="12"/>
      <c r="AY17" s="12">
        <v>108</v>
      </c>
      <c r="AZ17" s="43"/>
      <c r="BA17" s="4"/>
      <c r="BB17" s="4"/>
    </row>
    <row r="18" spans="1:54" hidden="1" x14ac:dyDescent="0.3">
      <c r="A18" s="4"/>
      <c r="B18" s="32">
        <v>2</v>
      </c>
      <c r="C18" s="32" t="s">
        <v>80</v>
      </c>
      <c r="D18" s="5" t="s">
        <v>441</v>
      </c>
      <c r="E18" s="33" t="s">
        <v>101</v>
      </c>
      <c r="F18" s="5" t="s">
        <v>102</v>
      </c>
      <c r="G18" s="33" t="s">
        <v>101</v>
      </c>
      <c r="H18" s="71">
        <v>321160.00020000001</v>
      </c>
      <c r="I18" s="71">
        <v>6812689.9997979999</v>
      </c>
      <c r="J18" s="4"/>
      <c r="K18" s="28" t="s">
        <v>68</v>
      </c>
      <c r="L18" s="34">
        <v>0</v>
      </c>
      <c r="M18" s="34">
        <v>0</v>
      </c>
      <c r="N18" s="34">
        <v>1</v>
      </c>
      <c r="O18" s="36">
        <v>1</v>
      </c>
      <c r="P18" s="4"/>
      <c r="Q18" s="5"/>
      <c r="R18" s="14" t="s">
        <v>9</v>
      </c>
      <c r="S18" s="12" t="s">
        <v>433</v>
      </c>
      <c r="T18" s="28" t="s">
        <v>77</v>
      </c>
      <c r="U18" s="28" t="s">
        <v>78</v>
      </c>
      <c r="V18" s="28">
        <v>1</v>
      </c>
      <c r="W18" s="12">
        <v>1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>
        <v>1</v>
      </c>
      <c r="AI18" s="4">
        <v>768</v>
      </c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12"/>
      <c r="AU18" s="12">
        <v>12</v>
      </c>
      <c r="AV18" s="12"/>
      <c r="AW18" s="12">
        <v>126</v>
      </c>
      <c r="AX18" s="12"/>
      <c r="AY18" s="12">
        <v>108</v>
      </c>
      <c r="AZ18" s="43"/>
      <c r="BA18" s="4"/>
      <c r="BB18" s="4"/>
    </row>
    <row r="19" spans="1:54" hidden="1" x14ac:dyDescent="0.3">
      <c r="A19" s="4"/>
      <c r="B19" s="32">
        <v>2</v>
      </c>
      <c r="C19" s="32" t="s">
        <v>80</v>
      </c>
      <c r="D19" s="5" t="s">
        <v>441</v>
      </c>
      <c r="E19" s="33" t="s">
        <v>103</v>
      </c>
      <c r="F19" s="5" t="s">
        <v>104</v>
      </c>
      <c r="G19" s="33" t="s">
        <v>103</v>
      </c>
      <c r="H19" s="71">
        <v>258223.56379700001</v>
      </c>
      <c r="I19" s="71">
        <v>6818954.3800419997</v>
      </c>
      <c r="J19" s="4"/>
      <c r="K19" s="28" t="s">
        <v>68</v>
      </c>
      <c r="L19" s="34">
        <v>0</v>
      </c>
      <c r="M19" s="34">
        <v>0</v>
      </c>
      <c r="N19" s="34">
        <v>1</v>
      </c>
      <c r="O19" s="36">
        <v>0</v>
      </c>
      <c r="P19" s="5"/>
      <c r="Q19" s="5"/>
      <c r="R19" s="14" t="s">
        <v>9</v>
      </c>
      <c r="S19" s="12" t="s">
        <v>433</v>
      </c>
      <c r="T19" s="28" t="s">
        <v>431</v>
      </c>
      <c r="U19" s="28" t="s">
        <v>78</v>
      </c>
      <c r="V19" s="28">
        <v>1</v>
      </c>
      <c r="W19" s="12">
        <v>1</v>
      </c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>
        <v>1</v>
      </c>
      <c r="AI19" s="4">
        <v>768</v>
      </c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12"/>
      <c r="AU19" s="12">
        <v>12</v>
      </c>
      <c r="AV19" s="12"/>
      <c r="AW19" s="12">
        <v>126</v>
      </c>
      <c r="AX19" s="12"/>
      <c r="AY19" s="12">
        <v>108</v>
      </c>
      <c r="AZ19" s="43"/>
      <c r="BA19" s="4"/>
      <c r="BB19" s="4"/>
    </row>
    <row r="20" spans="1:54" x14ac:dyDescent="0.3">
      <c r="A20" s="4"/>
      <c r="B20" s="32">
        <v>2</v>
      </c>
      <c r="C20" s="32" t="s">
        <v>80</v>
      </c>
      <c r="D20" s="5" t="s">
        <v>441</v>
      </c>
      <c r="E20" s="33" t="s">
        <v>105</v>
      </c>
      <c r="F20" s="5" t="s">
        <v>106</v>
      </c>
      <c r="G20" s="33" t="s">
        <v>105</v>
      </c>
      <c r="H20" s="71">
        <v>239799</v>
      </c>
      <c r="I20" s="71">
        <v>6871870.9997979999</v>
      </c>
      <c r="J20" s="4"/>
      <c r="K20" s="28" t="s">
        <v>67</v>
      </c>
      <c r="L20" s="34">
        <v>0</v>
      </c>
      <c r="M20" s="34">
        <v>0</v>
      </c>
      <c r="N20" s="34">
        <v>1</v>
      </c>
      <c r="O20" s="36">
        <v>0</v>
      </c>
      <c r="P20" s="5"/>
      <c r="Q20" s="5"/>
      <c r="R20" s="14" t="s">
        <v>9</v>
      </c>
      <c r="S20" s="12" t="s">
        <v>433</v>
      </c>
      <c r="T20" s="28" t="s">
        <v>431</v>
      </c>
      <c r="U20" s="28" t="s">
        <v>78</v>
      </c>
      <c r="V20" s="28">
        <v>2</v>
      </c>
      <c r="W20" s="4"/>
      <c r="X20" s="12">
        <v>1</v>
      </c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12">
        <v>1</v>
      </c>
      <c r="AK20" s="12">
        <v>1260</v>
      </c>
      <c r="AL20" s="4"/>
      <c r="AM20" s="4"/>
      <c r="AN20" s="4"/>
      <c r="AO20" s="4"/>
      <c r="AP20" s="4"/>
      <c r="AQ20" s="4"/>
      <c r="AR20" s="4"/>
      <c r="AS20" s="4"/>
      <c r="AT20" s="12">
        <v>1</v>
      </c>
      <c r="AU20" s="12">
        <v>12</v>
      </c>
      <c r="AV20" s="12">
        <v>1</v>
      </c>
      <c r="AW20" s="12">
        <v>126</v>
      </c>
      <c r="AX20" s="12">
        <v>1</v>
      </c>
      <c r="AY20" s="12">
        <v>108</v>
      </c>
      <c r="AZ20" s="43"/>
      <c r="BA20" s="4"/>
      <c r="BB20" s="4"/>
    </row>
    <row r="21" spans="1:54" x14ac:dyDescent="0.3">
      <c r="A21" s="4"/>
      <c r="B21" s="32">
        <v>2</v>
      </c>
      <c r="C21" s="32" t="s">
        <v>80</v>
      </c>
      <c r="D21" s="5" t="s">
        <v>441</v>
      </c>
      <c r="E21" s="33" t="s">
        <v>107</v>
      </c>
      <c r="F21" s="5" t="s">
        <v>108</v>
      </c>
      <c r="G21" s="33" t="s">
        <v>107</v>
      </c>
      <c r="H21" s="71">
        <v>311637</v>
      </c>
      <c r="I21" s="71">
        <v>6820003.9997979999</v>
      </c>
      <c r="J21" s="4"/>
      <c r="K21" s="28" t="s">
        <v>67</v>
      </c>
      <c r="L21" s="34">
        <v>0</v>
      </c>
      <c r="M21" s="34">
        <v>0</v>
      </c>
      <c r="N21" s="34">
        <v>1</v>
      </c>
      <c r="O21" s="36">
        <v>1</v>
      </c>
      <c r="P21" s="5"/>
      <c r="Q21" s="5"/>
      <c r="R21" s="14" t="s">
        <v>9</v>
      </c>
      <c r="S21" s="4" t="s">
        <v>433</v>
      </c>
      <c r="T21" s="28" t="s">
        <v>431</v>
      </c>
      <c r="U21" s="28" t="s">
        <v>78</v>
      </c>
      <c r="V21" s="28">
        <v>1</v>
      </c>
      <c r="W21" s="4"/>
      <c r="X21" s="12">
        <v>1</v>
      </c>
      <c r="Y21" s="4"/>
      <c r="Z21" s="4"/>
      <c r="AA21" s="4"/>
      <c r="AB21" s="4"/>
      <c r="AC21" s="4"/>
      <c r="AD21" s="4"/>
      <c r="AE21" s="4"/>
      <c r="AF21" s="4"/>
      <c r="AG21" s="4"/>
      <c r="AH21" s="4">
        <v>1</v>
      </c>
      <c r="AI21" s="4">
        <v>768</v>
      </c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12">
        <v>1</v>
      </c>
      <c r="AU21" s="12">
        <v>12</v>
      </c>
      <c r="AV21" s="12">
        <v>1</v>
      </c>
      <c r="AW21" s="12">
        <v>126</v>
      </c>
      <c r="AX21" s="12">
        <v>1</v>
      </c>
      <c r="AY21" s="12">
        <v>108</v>
      </c>
      <c r="AZ21" s="43"/>
      <c r="BA21" s="4"/>
      <c r="BB21" s="4"/>
    </row>
    <row r="22" spans="1:54" x14ac:dyDescent="0.3">
      <c r="A22" s="4"/>
      <c r="B22" s="32">
        <v>2</v>
      </c>
      <c r="C22" s="32" t="s">
        <v>80</v>
      </c>
      <c r="D22" s="5" t="s">
        <v>441</v>
      </c>
      <c r="E22" s="33" t="s">
        <v>109</v>
      </c>
      <c r="F22" s="5" t="s">
        <v>110</v>
      </c>
      <c r="G22" s="33" t="s">
        <v>109</v>
      </c>
      <c r="H22" s="71">
        <v>237736.99979999999</v>
      </c>
      <c r="I22" s="71">
        <v>6828364.9997979999</v>
      </c>
      <c r="J22" s="4"/>
      <c r="K22" s="28" t="s">
        <v>67</v>
      </c>
      <c r="L22" s="34">
        <v>0</v>
      </c>
      <c r="M22" s="34">
        <v>0</v>
      </c>
      <c r="N22" s="34">
        <v>1</v>
      </c>
      <c r="O22" s="36">
        <v>0</v>
      </c>
      <c r="P22" s="5"/>
      <c r="Q22" s="5"/>
      <c r="R22" s="14" t="s">
        <v>9</v>
      </c>
      <c r="S22" s="4" t="s">
        <v>433</v>
      </c>
      <c r="T22" s="28" t="s">
        <v>431</v>
      </c>
      <c r="U22" s="28" t="s">
        <v>78</v>
      </c>
      <c r="V22" s="28">
        <v>1</v>
      </c>
      <c r="W22" s="4"/>
      <c r="X22" s="12">
        <v>1</v>
      </c>
      <c r="Y22" s="4"/>
      <c r="Z22" s="4"/>
      <c r="AA22" s="4"/>
      <c r="AB22" s="4"/>
      <c r="AC22" s="4"/>
      <c r="AD22" s="4"/>
      <c r="AE22" s="4"/>
      <c r="AF22" s="4"/>
      <c r="AG22" s="4"/>
      <c r="AH22" s="4">
        <v>1</v>
      </c>
      <c r="AI22" s="4">
        <v>768</v>
      </c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12">
        <v>1</v>
      </c>
      <c r="AU22" s="12">
        <v>12</v>
      </c>
      <c r="AV22" s="12">
        <v>1</v>
      </c>
      <c r="AW22" s="12">
        <v>126</v>
      </c>
      <c r="AX22" s="12">
        <v>1</v>
      </c>
      <c r="AY22" s="12">
        <v>108</v>
      </c>
      <c r="AZ22" s="43"/>
      <c r="BA22" s="4"/>
      <c r="BB22" s="4"/>
    </row>
    <row r="23" spans="1:54" x14ac:dyDescent="0.3">
      <c r="A23" s="4"/>
      <c r="B23" s="32">
        <v>2</v>
      </c>
      <c r="C23" s="32">
        <v>22</v>
      </c>
      <c r="D23" s="5" t="s">
        <v>441</v>
      </c>
      <c r="E23" s="37" t="s">
        <v>111</v>
      </c>
      <c r="F23" s="5" t="s">
        <v>112</v>
      </c>
      <c r="G23" s="37" t="s">
        <v>111</v>
      </c>
      <c r="H23" s="75">
        <v>272632.00020000001</v>
      </c>
      <c r="I23" s="75">
        <v>6821057.9999980005</v>
      </c>
      <c r="J23" s="4"/>
      <c r="K23" s="28" t="s">
        <v>67</v>
      </c>
      <c r="L23" s="34">
        <v>0</v>
      </c>
      <c r="M23" s="34">
        <v>0</v>
      </c>
      <c r="N23" s="34">
        <v>1</v>
      </c>
      <c r="O23" s="36">
        <v>1</v>
      </c>
      <c r="P23" s="5"/>
      <c r="Q23" s="5"/>
      <c r="R23" s="14" t="s">
        <v>9</v>
      </c>
      <c r="S23" s="12" t="s">
        <v>433</v>
      </c>
      <c r="T23" s="28" t="s">
        <v>431</v>
      </c>
      <c r="U23" s="28" t="s">
        <v>78</v>
      </c>
      <c r="V23" s="28">
        <v>1</v>
      </c>
      <c r="W23" s="4"/>
      <c r="X23" s="12">
        <v>1</v>
      </c>
      <c r="Y23" s="4"/>
      <c r="Z23" s="4"/>
      <c r="AA23" s="4"/>
      <c r="AB23" s="4"/>
      <c r="AC23" s="4"/>
      <c r="AD23" s="4"/>
      <c r="AE23" s="4"/>
      <c r="AF23" s="4"/>
      <c r="AG23" s="4"/>
      <c r="AH23" s="4">
        <v>1</v>
      </c>
      <c r="AI23" s="4">
        <v>768</v>
      </c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12">
        <v>1</v>
      </c>
      <c r="AU23" s="12">
        <v>12</v>
      </c>
      <c r="AV23" s="12">
        <v>1</v>
      </c>
      <c r="AW23" s="12">
        <v>126</v>
      </c>
      <c r="AX23" s="12">
        <v>1</v>
      </c>
      <c r="AY23" s="12">
        <v>108</v>
      </c>
      <c r="AZ23" s="43"/>
      <c r="BA23" s="4"/>
      <c r="BB23" s="4"/>
    </row>
    <row r="24" spans="1:54" x14ac:dyDescent="0.3">
      <c r="A24" s="4"/>
      <c r="B24" s="32">
        <v>2</v>
      </c>
      <c r="C24" s="32" t="s">
        <v>80</v>
      </c>
      <c r="D24" s="5" t="s">
        <v>441</v>
      </c>
      <c r="E24" s="33" t="s">
        <v>113</v>
      </c>
      <c r="F24" s="5" t="s">
        <v>114</v>
      </c>
      <c r="G24" s="33" t="s">
        <v>113</v>
      </c>
      <c r="H24" s="71">
        <v>290857.99979999999</v>
      </c>
      <c r="I24" s="71">
        <v>6822038.9999980005</v>
      </c>
      <c r="J24" s="4"/>
      <c r="K24" s="28" t="s">
        <v>67</v>
      </c>
      <c r="L24" s="34">
        <v>0</v>
      </c>
      <c r="M24" s="34">
        <v>0</v>
      </c>
      <c r="N24" s="34">
        <v>1</v>
      </c>
      <c r="O24" s="36">
        <v>0</v>
      </c>
      <c r="P24" s="5"/>
      <c r="Q24" s="5"/>
      <c r="R24" s="14" t="s">
        <v>9</v>
      </c>
      <c r="S24" s="12" t="s">
        <v>433</v>
      </c>
      <c r="T24" s="28" t="s">
        <v>431</v>
      </c>
      <c r="U24" s="28" t="s">
        <v>78</v>
      </c>
      <c r="V24" s="28">
        <v>1</v>
      </c>
      <c r="W24" s="4"/>
      <c r="X24" s="12">
        <v>1</v>
      </c>
      <c r="Y24" s="4"/>
      <c r="Z24" s="4"/>
      <c r="AA24" s="4"/>
      <c r="AB24" s="4"/>
      <c r="AC24" s="4"/>
      <c r="AD24" s="4"/>
      <c r="AE24" s="4"/>
      <c r="AF24" s="4"/>
      <c r="AG24" s="4"/>
      <c r="AH24" s="4">
        <v>1</v>
      </c>
      <c r="AI24" s="4">
        <v>768</v>
      </c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12">
        <v>1</v>
      </c>
      <c r="AU24" s="12">
        <v>12</v>
      </c>
      <c r="AV24" s="12">
        <v>1</v>
      </c>
      <c r="AW24" s="12">
        <v>126</v>
      </c>
      <c r="AX24" s="12">
        <v>1</v>
      </c>
      <c r="AY24" s="12">
        <v>108</v>
      </c>
      <c r="AZ24" s="43"/>
      <c r="BA24" s="4"/>
      <c r="BB24" s="4"/>
    </row>
    <row r="25" spans="1:54" x14ac:dyDescent="0.3">
      <c r="A25" s="4"/>
      <c r="B25" s="32">
        <v>2</v>
      </c>
      <c r="C25" s="32" t="s">
        <v>80</v>
      </c>
      <c r="D25" s="5" t="s">
        <v>441</v>
      </c>
      <c r="E25" s="33" t="s">
        <v>115</v>
      </c>
      <c r="F25" s="5" t="s">
        <v>116</v>
      </c>
      <c r="G25" s="33" t="s">
        <v>115</v>
      </c>
      <c r="H25" s="71">
        <v>247779</v>
      </c>
      <c r="I25" s="71">
        <v>6852400.0001980001</v>
      </c>
      <c r="J25" s="4"/>
      <c r="K25" s="28" t="s">
        <v>67</v>
      </c>
      <c r="L25" s="34">
        <v>0</v>
      </c>
      <c r="M25" s="34">
        <v>0</v>
      </c>
      <c r="N25" s="34">
        <v>1</v>
      </c>
      <c r="O25" s="36">
        <v>0</v>
      </c>
      <c r="P25" s="5"/>
      <c r="Q25" s="5"/>
      <c r="R25" s="14" t="s">
        <v>9</v>
      </c>
      <c r="S25" s="12" t="s">
        <v>433</v>
      </c>
      <c r="T25" s="28" t="s">
        <v>430</v>
      </c>
      <c r="U25" s="54" t="s">
        <v>429</v>
      </c>
      <c r="V25" s="28">
        <v>1</v>
      </c>
      <c r="W25" s="4"/>
      <c r="X25" s="12">
        <v>1</v>
      </c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>
        <v>1</v>
      </c>
      <c r="AO25" s="4">
        <v>1200</v>
      </c>
      <c r="AP25" s="4"/>
      <c r="AQ25" s="4"/>
      <c r="AR25" s="4"/>
      <c r="AS25" s="4"/>
      <c r="AT25" s="12">
        <v>1</v>
      </c>
      <c r="AU25" s="12">
        <v>12</v>
      </c>
      <c r="AV25" s="12">
        <v>1</v>
      </c>
      <c r="AW25" s="12">
        <v>126</v>
      </c>
      <c r="AX25" s="12">
        <v>1</v>
      </c>
      <c r="AY25" s="12">
        <v>108</v>
      </c>
      <c r="AZ25" s="43"/>
      <c r="BA25" s="4"/>
      <c r="BB25" s="4"/>
    </row>
    <row r="26" spans="1:54" x14ac:dyDescent="0.3">
      <c r="A26" s="4"/>
      <c r="B26" s="32">
        <v>2</v>
      </c>
      <c r="C26" s="32" t="s">
        <v>80</v>
      </c>
      <c r="D26" s="5" t="s">
        <v>441</v>
      </c>
      <c r="E26" s="33" t="s">
        <v>117</v>
      </c>
      <c r="F26" s="5" t="s">
        <v>118</v>
      </c>
      <c r="G26" s="33" t="s">
        <v>117</v>
      </c>
      <c r="H26" s="71">
        <v>254179.00020000001</v>
      </c>
      <c r="I26" s="71">
        <v>6861518.9999980005</v>
      </c>
      <c r="J26" s="4"/>
      <c r="K26" s="28" t="s">
        <v>67</v>
      </c>
      <c r="L26" s="34">
        <v>0</v>
      </c>
      <c r="M26" s="34">
        <v>0</v>
      </c>
      <c r="N26" s="34">
        <v>1</v>
      </c>
      <c r="O26" s="36">
        <v>0</v>
      </c>
      <c r="P26" s="5"/>
      <c r="Q26" s="5"/>
      <c r="R26" s="14" t="s">
        <v>9</v>
      </c>
      <c r="S26" s="12" t="s">
        <v>433</v>
      </c>
      <c r="T26" s="28" t="s">
        <v>430</v>
      </c>
      <c r="U26" s="54" t="s">
        <v>429</v>
      </c>
      <c r="V26" s="28">
        <v>1</v>
      </c>
      <c r="W26" s="4"/>
      <c r="X26" s="12">
        <v>1</v>
      </c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>
        <v>1</v>
      </c>
      <c r="AO26" s="4">
        <v>1200</v>
      </c>
      <c r="AP26" s="4"/>
      <c r="AQ26" s="4"/>
      <c r="AR26" s="4"/>
      <c r="AS26" s="4"/>
      <c r="AT26" s="12">
        <v>1</v>
      </c>
      <c r="AU26" s="12">
        <v>12</v>
      </c>
      <c r="AV26" s="12">
        <v>1</v>
      </c>
      <c r="AW26" s="12">
        <v>126</v>
      </c>
      <c r="AX26" s="12">
        <v>1</v>
      </c>
      <c r="AY26" s="12">
        <v>108</v>
      </c>
      <c r="AZ26" s="43"/>
      <c r="BA26" s="4"/>
      <c r="BB26" s="4"/>
    </row>
    <row r="27" spans="1:54" hidden="1" x14ac:dyDescent="0.3">
      <c r="A27" s="4"/>
      <c r="B27" s="32">
        <v>2</v>
      </c>
      <c r="C27" s="32" t="s">
        <v>119</v>
      </c>
      <c r="D27" s="14" t="s">
        <v>444</v>
      </c>
      <c r="E27" s="33" t="s">
        <v>120</v>
      </c>
      <c r="F27" s="5" t="s">
        <v>121</v>
      </c>
      <c r="G27" s="33" t="s">
        <v>120</v>
      </c>
      <c r="H27" s="71">
        <v>159498</v>
      </c>
      <c r="I27" s="71">
        <v>6786598.0001980001</v>
      </c>
      <c r="J27" s="4"/>
      <c r="K27" s="28" t="s">
        <v>428</v>
      </c>
      <c r="L27" s="34">
        <v>1</v>
      </c>
      <c r="M27" s="34">
        <v>1</v>
      </c>
      <c r="N27" s="34">
        <v>1</v>
      </c>
      <c r="O27" s="36">
        <v>0</v>
      </c>
      <c r="P27" s="5"/>
      <c r="Q27" s="5"/>
      <c r="R27" s="5" t="s">
        <v>8</v>
      </c>
      <c r="S27" s="12" t="s">
        <v>433</v>
      </c>
      <c r="T27" s="28" t="s">
        <v>431</v>
      </c>
      <c r="U27" s="28" t="s">
        <v>78</v>
      </c>
      <c r="V27" s="28">
        <v>2</v>
      </c>
      <c r="W27" s="12">
        <v>1</v>
      </c>
      <c r="X27" s="12">
        <v>1</v>
      </c>
      <c r="Y27" s="4"/>
      <c r="Z27" s="4">
        <v>1</v>
      </c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12"/>
      <c r="AW27" s="4"/>
      <c r="AX27" s="12"/>
      <c r="AY27" s="4"/>
      <c r="AZ27" s="43"/>
      <c r="BA27" s="4"/>
      <c r="BB27" s="4"/>
    </row>
    <row r="28" spans="1:54" hidden="1" x14ac:dyDescent="0.3">
      <c r="A28" s="4"/>
      <c r="B28" s="32">
        <v>2</v>
      </c>
      <c r="C28" s="32" t="s">
        <v>119</v>
      </c>
      <c r="D28" s="14" t="s">
        <v>444</v>
      </c>
      <c r="E28" s="33" t="s">
        <v>122</v>
      </c>
      <c r="F28" s="5" t="s">
        <v>123</v>
      </c>
      <c r="G28" s="33" t="s">
        <v>122</v>
      </c>
      <c r="H28" s="71">
        <v>205510.99979999999</v>
      </c>
      <c r="I28" s="71">
        <v>6824957.9999980005</v>
      </c>
      <c r="J28" s="4"/>
      <c r="K28" s="28" t="s">
        <v>428</v>
      </c>
      <c r="L28" s="34">
        <v>0</v>
      </c>
      <c r="M28" s="34">
        <v>1</v>
      </c>
      <c r="N28" s="34">
        <v>1</v>
      </c>
      <c r="O28" s="36">
        <v>1</v>
      </c>
      <c r="P28" s="5"/>
      <c r="Q28" s="5"/>
      <c r="R28" s="14" t="s">
        <v>8</v>
      </c>
      <c r="S28" s="12" t="s">
        <v>433</v>
      </c>
      <c r="T28" s="28" t="s">
        <v>77</v>
      </c>
      <c r="U28" s="28" t="s">
        <v>78</v>
      </c>
      <c r="V28" s="28">
        <v>1</v>
      </c>
      <c r="W28" s="12">
        <v>1</v>
      </c>
      <c r="X28" s="12">
        <v>1</v>
      </c>
      <c r="Y28" s="4"/>
      <c r="Z28" s="4">
        <v>1</v>
      </c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12"/>
      <c r="AW28" s="4"/>
      <c r="AX28" s="12"/>
      <c r="AY28" s="4"/>
      <c r="AZ28" s="43"/>
      <c r="BA28" s="4"/>
      <c r="BB28" s="4"/>
    </row>
    <row r="29" spans="1:54" hidden="1" x14ac:dyDescent="0.3">
      <c r="A29" s="4"/>
      <c r="B29" s="32">
        <v>2</v>
      </c>
      <c r="C29" s="32" t="s">
        <v>119</v>
      </c>
      <c r="D29" s="5" t="s">
        <v>441</v>
      </c>
      <c r="E29" s="33" t="s">
        <v>124</v>
      </c>
      <c r="F29" s="5" t="s">
        <v>125</v>
      </c>
      <c r="G29" s="33" t="s">
        <v>124</v>
      </c>
      <c r="H29" s="71">
        <v>166276.00020000001</v>
      </c>
      <c r="I29" s="71">
        <v>6833822.9999980005</v>
      </c>
      <c r="J29" s="4"/>
      <c r="K29" s="28" t="s">
        <v>68</v>
      </c>
      <c r="L29" s="34">
        <v>0</v>
      </c>
      <c r="M29" s="34">
        <v>0</v>
      </c>
      <c r="N29" s="34">
        <v>1</v>
      </c>
      <c r="O29" s="36">
        <v>1</v>
      </c>
      <c r="P29" s="5"/>
      <c r="Q29" s="5"/>
      <c r="R29" s="14" t="s">
        <v>9</v>
      </c>
      <c r="S29" s="12" t="s">
        <v>433</v>
      </c>
      <c r="T29" s="28" t="s">
        <v>431</v>
      </c>
      <c r="U29" s="28" t="s">
        <v>78</v>
      </c>
      <c r="V29" s="28">
        <v>2</v>
      </c>
      <c r="W29" s="12">
        <v>1</v>
      </c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>
        <v>1</v>
      </c>
      <c r="AK29" s="4">
        <v>1260</v>
      </c>
      <c r="AL29" s="4"/>
      <c r="AM29" s="4"/>
      <c r="AN29" s="4"/>
      <c r="AO29" s="4"/>
      <c r="AP29" s="4"/>
      <c r="AQ29" s="4"/>
      <c r="AR29" s="4"/>
      <c r="AS29" s="4"/>
      <c r="AT29" s="12"/>
      <c r="AU29" s="12">
        <v>12</v>
      </c>
      <c r="AV29" s="12"/>
      <c r="AW29" s="12">
        <v>126</v>
      </c>
      <c r="AX29" s="12"/>
      <c r="AY29" s="12">
        <v>108</v>
      </c>
      <c r="AZ29" s="43"/>
      <c r="BA29" s="4"/>
      <c r="BB29" s="4"/>
    </row>
    <row r="30" spans="1:54" hidden="1" x14ac:dyDescent="0.3">
      <c r="A30" s="4"/>
      <c r="B30" s="32">
        <v>2</v>
      </c>
      <c r="C30" s="32" t="s">
        <v>119</v>
      </c>
      <c r="D30" s="14" t="s">
        <v>444</v>
      </c>
      <c r="E30" s="33" t="s">
        <v>126</v>
      </c>
      <c r="F30" s="5" t="s">
        <v>127</v>
      </c>
      <c r="G30" s="33" t="s">
        <v>126</v>
      </c>
      <c r="H30" s="71">
        <v>186481.05775199999</v>
      </c>
      <c r="I30" s="71">
        <v>6789427.9604630005</v>
      </c>
      <c r="J30" s="4"/>
      <c r="K30" s="28" t="s">
        <v>428</v>
      </c>
      <c r="L30" s="34">
        <v>1</v>
      </c>
      <c r="M30" s="34">
        <v>1</v>
      </c>
      <c r="N30" s="34">
        <v>1</v>
      </c>
      <c r="O30" s="36">
        <v>1</v>
      </c>
      <c r="P30" s="5"/>
      <c r="Q30" s="5"/>
      <c r="R30" s="5" t="s">
        <v>8</v>
      </c>
      <c r="S30" s="12" t="s">
        <v>433</v>
      </c>
      <c r="T30" s="28" t="s">
        <v>431</v>
      </c>
      <c r="U30" s="28" t="s">
        <v>78</v>
      </c>
      <c r="V30" s="28">
        <v>2</v>
      </c>
      <c r="W30" s="12">
        <v>1</v>
      </c>
      <c r="X30" s="12">
        <v>1</v>
      </c>
      <c r="Y30" s="4"/>
      <c r="Z30" s="4">
        <v>1</v>
      </c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12"/>
      <c r="AW30" s="4"/>
      <c r="AX30" s="12"/>
      <c r="AY30" s="4"/>
      <c r="AZ30" s="43"/>
      <c r="BA30" s="4"/>
      <c r="BB30" s="4"/>
    </row>
    <row r="31" spans="1:54" x14ac:dyDescent="0.3">
      <c r="A31" s="4"/>
      <c r="B31" s="32">
        <v>2</v>
      </c>
      <c r="C31" s="32" t="s">
        <v>119</v>
      </c>
      <c r="D31" s="5" t="s">
        <v>441</v>
      </c>
      <c r="E31" s="33" t="s">
        <v>128</v>
      </c>
      <c r="F31" s="5" t="s">
        <v>129</v>
      </c>
      <c r="G31" s="33" t="s">
        <v>128</v>
      </c>
      <c r="H31" s="71">
        <v>167640</v>
      </c>
      <c r="I31" s="71">
        <v>6843748.0001980001</v>
      </c>
      <c r="J31" s="4"/>
      <c r="K31" s="28" t="s">
        <v>67</v>
      </c>
      <c r="L31" s="34">
        <v>0</v>
      </c>
      <c r="M31" s="34">
        <v>0</v>
      </c>
      <c r="N31" s="34">
        <v>1</v>
      </c>
      <c r="O31" s="35">
        <v>0</v>
      </c>
      <c r="P31" s="5"/>
      <c r="Q31" s="5"/>
      <c r="R31" s="14" t="s">
        <v>9</v>
      </c>
      <c r="S31" s="12" t="s">
        <v>433</v>
      </c>
      <c r="T31" s="28" t="s">
        <v>77</v>
      </c>
      <c r="U31" s="28" t="s">
        <v>78</v>
      </c>
      <c r="V31" s="28">
        <v>1</v>
      </c>
      <c r="W31" s="12"/>
      <c r="X31" s="12">
        <v>1</v>
      </c>
      <c r="Y31" s="4"/>
      <c r="Z31" s="77"/>
      <c r="AA31" s="4"/>
      <c r="AB31" s="4"/>
      <c r="AC31" s="4"/>
      <c r="AD31" s="4"/>
      <c r="AE31" s="4"/>
      <c r="AF31" s="4"/>
      <c r="AG31" s="4"/>
      <c r="AH31" s="4">
        <v>1</v>
      </c>
      <c r="AI31" s="4">
        <v>768</v>
      </c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12">
        <v>1</v>
      </c>
      <c r="AU31" s="12">
        <v>12</v>
      </c>
      <c r="AV31" s="12">
        <v>1</v>
      </c>
      <c r="AW31" s="12">
        <v>126</v>
      </c>
      <c r="AX31" s="12">
        <v>1</v>
      </c>
      <c r="AY31" s="12">
        <v>108</v>
      </c>
      <c r="AZ31" s="43"/>
      <c r="BA31" s="4"/>
      <c r="BB31" s="4"/>
    </row>
    <row r="32" spans="1:54" hidden="1" x14ac:dyDescent="0.3">
      <c r="A32" s="4"/>
      <c r="B32" s="32">
        <v>2</v>
      </c>
      <c r="C32" s="32" t="s">
        <v>119</v>
      </c>
      <c r="D32" s="14" t="s">
        <v>444</v>
      </c>
      <c r="E32" s="33" t="s">
        <v>130</v>
      </c>
      <c r="F32" s="5" t="s">
        <v>131</v>
      </c>
      <c r="G32" s="33" t="s">
        <v>130</v>
      </c>
      <c r="H32" s="71">
        <v>192650</v>
      </c>
      <c r="I32" s="71">
        <v>6781217</v>
      </c>
      <c r="J32" s="4"/>
      <c r="K32" s="28" t="s">
        <v>428</v>
      </c>
      <c r="L32" s="34">
        <v>1</v>
      </c>
      <c r="M32" s="34">
        <v>0</v>
      </c>
      <c r="N32" s="34">
        <v>0</v>
      </c>
      <c r="O32" s="35">
        <v>0</v>
      </c>
      <c r="P32" s="5"/>
      <c r="Q32" s="5"/>
      <c r="R32" s="5" t="s">
        <v>8</v>
      </c>
      <c r="S32" s="12" t="s">
        <v>433</v>
      </c>
      <c r="T32" s="41" t="s">
        <v>431</v>
      </c>
      <c r="U32" s="28" t="s">
        <v>78</v>
      </c>
      <c r="V32" s="28">
        <v>2</v>
      </c>
      <c r="W32" s="12">
        <v>1</v>
      </c>
      <c r="X32" s="12">
        <v>1</v>
      </c>
      <c r="Y32" s="4"/>
      <c r="Z32" s="4">
        <v>1</v>
      </c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12"/>
      <c r="AW32" s="4"/>
      <c r="AX32" s="12"/>
      <c r="AY32" s="4"/>
      <c r="AZ32" s="43"/>
      <c r="BA32" s="4"/>
      <c r="BB32" s="4"/>
    </row>
    <row r="33" spans="1:54" hidden="1" x14ac:dyDescent="0.3">
      <c r="A33" s="4"/>
      <c r="B33" s="32">
        <v>2</v>
      </c>
      <c r="C33" s="32" t="s">
        <v>119</v>
      </c>
      <c r="D33" s="14" t="s">
        <v>444</v>
      </c>
      <c r="E33" s="33" t="s">
        <v>132</v>
      </c>
      <c r="F33" s="5" t="s">
        <v>133</v>
      </c>
      <c r="G33" s="33" t="s">
        <v>132</v>
      </c>
      <c r="H33" s="71">
        <v>185167.00020000001</v>
      </c>
      <c r="I33" s="71">
        <v>6821644.9997979999</v>
      </c>
      <c r="J33" s="4"/>
      <c r="K33" s="28" t="s">
        <v>428</v>
      </c>
      <c r="L33" s="34">
        <v>1</v>
      </c>
      <c r="M33" s="34">
        <v>1</v>
      </c>
      <c r="N33" s="34">
        <v>1</v>
      </c>
      <c r="O33" s="36">
        <v>1</v>
      </c>
      <c r="P33" s="5"/>
      <c r="Q33" s="5"/>
      <c r="R33" s="5" t="s">
        <v>8</v>
      </c>
      <c r="S33" s="12" t="s">
        <v>433</v>
      </c>
      <c r="T33" s="28" t="s">
        <v>431</v>
      </c>
      <c r="U33" s="28" t="s">
        <v>78</v>
      </c>
      <c r="V33" s="28">
        <v>1</v>
      </c>
      <c r="W33" s="12">
        <v>1</v>
      </c>
      <c r="X33" s="12">
        <v>1</v>
      </c>
      <c r="Y33" s="4"/>
      <c r="Z33" s="4">
        <v>1</v>
      </c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12"/>
      <c r="AW33" s="4"/>
      <c r="AX33" s="12"/>
      <c r="AY33" s="4"/>
      <c r="AZ33" s="43"/>
      <c r="BA33" s="4"/>
      <c r="BB33" s="4"/>
    </row>
    <row r="34" spans="1:54" hidden="1" x14ac:dyDescent="0.3">
      <c r="A34" s="4"/>
      <c r="B34" s="32">
        <v>2</v>
      </c>
      <c r="C34" s="32" t="s">
        <v>119</v>
      </c>
      <c r="D34" s="5" t="s">
        <v>441</v>
      </c>
      <c r="E34" s="33" t="s">
        <v>134</v>
      </c>
      <c r="F34" s="5" t="s">
        <v>135</v>
      </c>
      <c r="G34" s="33" t="s">
        <v>134</v>
      </c>
      <c r="H34" s="71">
        <v>184297.00020000001</v>
      </c>
      <c r="I34" s="71">
        <v>6857917.0001980001</v>
      </c>
      <c r="J34" s="4"/>
      <c r="K34" s="28" t="s">
        <v>68</v>
      </c>
      <c r="L34" s="34">
        <v>0</v>
      </c>
      <c r="M34" s="34">
        <v>0</v>
      </c>
      <c r="N34" s="34">
        <v>1</v>
      </c>
      <c r="O34" s="35">
        <v>0</v>
      </c>
      <c r="P34" s="5"/>
      <c r="Q34" s="5"/>
      <c r="R34" s="14" t="s">
        <v>9</v>
      </c>
      <c r="S34" s="12" t="s">
        <v>433</v>
      </c>
      <c r="T34" s="28" t="s">
        <v>431</v>
      </c>
      <c r="U34" s="28" t="s">
        <v>78</v>
      </c>
      <c r="V34" s="28">
        <v>2</v>
      </c>
      <c r="W34" s="12">
        <v>1</v>
      </c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>
        <v>1</v>
      </c>
      <c r="AK34" s="4">
        <v>1260</v>
      </c>
      <c r="AL34" s="4"/>
      <c r="AM34" s="4"/>
      <c r="AN34" s="4"/>
      <c r="AO34" s="4"/>
      <c r="AP34" s="4"/>
      <c r="AQ34" s="4"/>
      <c r="AR34" s="4"/>
      <c r="AS34" s="4"/>
      <c r="AT34" s="12"/>
      <c r="AU34" s="12">
        <v>12</v>
      </c>
      <c r="AV34" s="12"/>
      <c r="AW34" s="12">
        <v>126</v>
      </c>
      <c r="AX34" s="12"/>
      <c r="AY34" s="12">
        <v>108</v>
      </c>
      <c r="AZ34" s="43"/>
      <c r="BA34" s="4"/>
      <c r="BB34" s="4"/>
    </row>
    <row r="35" spans="1:54" hidden="1" x14ac:dyDescent="0.3">
      <c r="A35" s="4"/>
      <c r="B35" s="32">
        <v>2</v>
      </c>
      <c r="C35" s="32" t="s">
        <v>119</v>
      </c>
      <c r="D35" s="14" t="s">
        <v>444</v>
      </c>
      <c r="E35" s="33" t="s">
        <v>136</v>
      </c>
      <c r="F35" s="5" t="s">
        <v>137</v>
      </c>
      <c r="G35" s="33" t="s">
        <v>136</v>
      </c>
      <c r="H35" s="71">
        <v>182421.89725899999</v>
      </c>
      <c r="I35" s="71">
        <v>6832321.3899250003</v>
      </c>
      <c r="J35" s="4"/>
      <c r="K35" s="28" t="s">
        <v>428</v>
      </c>
      <c r="L35" s="34">
        <v>0</v>
      </c>
      <c r="M35" s="34">
        <v>1</v>
      </c>
      <c r="N35" s="34">
        <v>1</v>
      </c>
      <c r="O35" s="35">
        <v>0</v>
      </c>
      <c r="P35" s="5"/>
      <c r="Q35" s="5"/>
      <c r="R35" s="14" t="s">
        <v>8</v>
      </c>
      <c r="S35" s="12" t="s">
        <v>433</v>
      </c>
      <c r="T35" s="28" t="s">
        <v>431</v>
      </c>
      <c r="U35" s="28" t="s">
        <v>78</v>
      </c>
      <c r="V35" s="28">
        <v>1</v>
      </c>
      <c r="W35" s="12">
        <v>1</v>
      </c>
      <c r="X35" s="12">
        <v>1</v>
      </c>
      <c r="Y35" s="77"/>
      <c r="Z35" s="4">
        <v>1</v>
      </c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12"/>
      <c r="AW35" s="4"/>
      <c r="AX35" s="12"/>
      <c r="AY35" s="4"/>
      <c r="AZ35" s="43"/>
      <c r="BA35" s="4"/>
      <c r="BB35" s="4"/>
    </row>
    <row r="36" spans="1:54" x14ac:dyDescent="0.3">
      <c r="A36" s="4"/>
      <c r="B36" s="32">
        <v>2</v>
      </c>
      <c r="C36" s="32" t="s">
        <v>119</v>
      </c>
      <c r="D36" s="5" t="s">
        <v>441</v>
      </c>
      <c r="E36" s="33" t="s">
        <v>138</v>
      </c>
      <c r="F36" s="79" t="s">
        <v>443</v>
      </c>
      <c r="G36" s="33" t="s">
        <v>138</v>
      </c>
      <c r="H36" s="71">
        <v>196193.57529400001</v>
      </c>
      <c r="I36" s="71">
        <v>6777924.6115680002</v>
      </c>
      <c r="J36" s="4"/>
      <c r="K36" s="28" t="s">
        <v>67</v>
      </c>
      <c r="L36" s="34">
        <v>0</v>
      </c>
      <c r="M36" s="34">
        <v>0</v>
      </c>
      <c r="N36" s="34">
        <v>1</v>
      </c>
      <c r="O36" s="36">
        <v>1</v>
      </c>
      <c r="P36" s="5"/>
      <c r="Q36" s="5"/>
      <c r="R36" s="14" t="s">
        <v>9</v>
      </c>
      <c r="S36" s="12" t="s">
        <v>433</v>
      </c>
      <c r="T36" s="28" t="s">
        <v>431</v>
      </c>
      <c r="U36" s="28" t="s">
        <v>78</v>
      </c>
      <c r="V36" s="28">
        <v>2</v>
      </c>
      <c r="W36" s="4"/>
      <c r="X36" s="12">
        <v>1</v>
      </c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12">
        <v>1</v>
      </c>
      <c r="AK36" s="12">
        <v>1260</v>
      </c>
      <c r="AL36" s="4"/>
      <c r="AM36" s="4"/>
      <c r="AN36" s="4"/>
      <c r="AO36" s="4"/>
      <c r="AP36" s="4"/>
      <c r="AQ36" s="4"/>
      <c r="AR36" s="4"/>
      <c r="AS36" s="4"/>
      <c r="AT36" s="12">
        <v>1</v>
      </c>
      <c r="AU36" s="12">
        <v>12</v>
      </c>
      <c r="AV36" s="12">
        <v>1</v>
      </c>
      <c r="AW36" s="12">
        <v>126</v>
      </c>
      <c r="AX36" s="12">
        <v>1</v>
      </c>
      <c r="AY36" s="12">
        <v>108</v>
      </c>
      <c r="AZ36" s="43"/>
      <c r="BA36" s="4"/>
      <c r="BB36" s="4"/>
    </row>
    <row r="37" spans="1:54" hidden="1" x14ac:dyDescent="0.3">
      <c r="A37" s="4"/>
      <c r="B37" s="32">
        <v>2</v>
      </c>
      <c r="C37" s="32" t="s">
        <v>119</v>
      </c>
      <c r="D37" s="14" t="s">
        <v>444</v>
      </c>
      <c r="E37" s="33" t="s">
        <v>139</v>
      </c>
      <c r="F37" s="5" t="s">
        <v>140</v>
      </c>
      <c r="G37" s="33" t="s">
        <v>139</v>
      </c>
      <c r="H37" s="71">
        <v>205290</v>
      </c>
      <c r="I37" s="71">
        <v>6783401.9999980005</v>
      </c>
      <c r="J37" s="15"/>
      <c r="K37" s="28" t="s">
        <v>428</v>
      </c>
      <c r="L37" s="34">
        <v>0</v>
      </c>
      <c r="M37" s="34">
        <v>1</v>
      </c>
      <c r="N37" s="34">
        <v>1</v>
      </c>
      <c r="O37" s="36">
        <v>0</v>
      </c>
      <c r="P37" s="5"/>
      <c r="Q37" s="5"/>
      <c r="R37" s="14" t="s">
        <v>8</v>
      </c>
      <c r="S37" s="12" t="s">
        <v>433</v>
      </c>
      <c r="T37" s="28" t="s">
        <v>77</v>
      </c>
      <c r="U37" s="28" t="s">
        <v>78</v>
      </c>
      <c r="V37" s="28">
        <v>1</v>
      </c>
      <c r="W37" s="12">
        <v>1</v>
      </c>
      <c r="X37" s="12">
        <v>1</v>
      </c>
      <c r="Y37" s="4"/>
      <c r="Z37" s="4">
        <v>1</v>
      </c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12"/>
      <c r="AW37" s="4"/>
      <c r="AX37" s="12"/>
      <c r="AY37" s="4"/>
      <c r="AZ37" s="43"/>
      <c r="BA37" s="4"/>
      <c r="BB37" s="4"/>
    </row>
    <row r="38" spans="1:54" hidden="1" x14ac:dyDescent="0.3">
      <c r="A38" s="4"/>
      <c r="B38" s="32">
        <v>2</v>
      </c>
      <c r="C38" s="32" t="s">
        <v>119</v>
      </c>
      <c r="D38" s="5" t="s">
        <v>441</v>
      </c>
      <c r="E38" s="33" t="s">
        <v>141</v>
      </c>
      <c r="F38" s="5" t="s">
        <v>142</v>
      </c>
      <c r="G38" s="33" t="s">
        <v>141</v>
      </c>
      <c r="H38" s="71">
        <v>192841.99979999999</v>
      </c>
      <c r="I38" s="71">
        <v>6826951.0001980001</v>
      </c>
      <c r="J38" s="4"/>
      <c r="K38" s="28" t="s">
        <v>68</v>
      </c>
      <c r="L38" s="34">
        <v>0</v>
      </c>
      <c r="M38" s="34">
        <v>0</v>
      </c>
      <c r="N38" s="34">
        <v>1</v>
      </c>
      <c r="O38" s="36">
        <v>0</v>
      </c>
      <c r="P38" s="5"/>
      <c r="Q38" s="5"/>
      <c r="R38" s="14" t="s">
        <v>9</v>
      </c>
      <c r="S38" s="12" t="s">
        <v>433</v>
      </c>
      <c r="T38" s="28" t="s">
        <v>77</v>
      </c>
      <c r="U38" s="28" t="s">
        <v>78</v>
      </c>
      <c r="V38" s="28">
        <v>1</v>
      </c>
      <c r="W38" s="12">
        <v>1</v>
      </c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>
        <v>1</v>
      </c>
      <c r="AI38" s="4">
        <v>768</v>
      </c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12"/>
      <c r="AU38" s="12">
        <v>12</v>
      </c>
      <c r="AV38" s="12"/>
      <c r="AW38" s="12">
        <v>126</v>
      </c>
      <c r="AX38" s="12"/>
      <c r="AY38" s="12">
        <v>108</v>
      </c>
      <c r="AZ38" s="43"/>
      <c r="BA38" s="4"/>
      <c r="BB38" s="4"/>
    </row>
    <row r="39" spans="1:54" hidden="1" x14ac:dyDescent="0.3">
      <c r="A39" s="4"/>
      <c r="B39" s="32">
        <v>2</v>
      </c>
      <c r="C39" s="32" t="s">
        <v>119</v>
      </c>
      <c r="D39" s="5" t="s">
        <v>441</v>
      </c>
      <c r="E39" s="33" t="s">
        <v>143</v>
      </c>
      <c r="F39" s="5" t="s">
        <v>144</v>
      </c>
      <c r="G39" s="33" t="s">
        <v>143</v>
      </c>
      <c r="H39" s="71">
        <v>197137.00020000001</v>
      </c>
      <c r="I39" s="71">
        <v>6772954.9997979999</v>
      </c>
      <c r="J39" s="4"/>
      <c r="K39" s="28" t="s">
        <v>68</v>
      </c>
      <c r="L39" s="34">
        <v>0</v>
      </c>
      <c r="M39" s="34">
        <v>0</v>
      </c>
      <c r="N39" s="34">
        <v>1</v>
      </c>
      <c r="O39" s="36">
        <v>0</v>
      </c>
      <c r="P39" s="5"/>
      <c r="Q39" s="5"/>
      <c r="R39" s="14" t="s">
        <v>9</v>
      </c>
      <c r="S39" s="12" t="s">
        <v>433</v>
      </c>
      <c r="T39" s="28" t="s">
        <v>77</v>
      </c>
      <c r="U39" s="28" t="s">
        <v>78</v>
      </c>
      <c r="V39" s="28">
        <v>1</v>
      </c>
      <c r="W39" s="12">
        <v>1</v>
      </c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>
        <v>1</v>
      </c>
      <c r="AI39" s="4">
        <v>768</v>
      </c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12"/>
      <c r="AU39" s="12">
        <v>12</v>
      </c>
      <c r="AV39" s="12"/>
      <c r="AW39" s="12">
        <v>126</v>
      </c>
      <c r="AX39" s="12"/>
      <c r="AY39" s="12">
        <v>108</v>
      </c>
    </row>
    <row r="40" spans="1:54" hidden="1" x14ac:dyDescent="0.3">
      <c r="A40" s="4"/>
      <c r="B40" s="32">
        <v>2</v>
      </c>
      <c r="C40" s="32" t="s">
        <v>119</v>
      </c>
      <c r="D40" s="5" t="s">
        <v>441</v>
      </c>
      <c r="E40" s="33" t="s">
        <v>145</v>
      </c>
      <c r="F40" s="5" t="s">
        <v>146</v>
      </c>
      <c r="G40" s="33" t="s">
        <v>145</v>
      </c>
      <c r="H40" s="71">
        <v>145381.00020000001</v>
      </c>
      <c r="I40" s="71">
        <v>6840556.0001980001</v>
      </c>
      <c r="J40" s="4"/>
      <c r="K40" s="28" t="s">
        <v>68</v>
      </c>
      <c r="L40" s="34">
        <v>0</v>
      </c>
      <c r="M40" s="34">
        <v>0</v>
      </c>
      <c r="N40" s="34">
        <v>1</v>
      </c>
      <c r="O40" s="36">
        <v>0</v>
      </c>
      <c r="P40" s="5"/>
      <c r="Q40" s="5"/>
      <c r="R40" s="14" t="s">
        <v>9</v>
      </c>
      <c r="S40" s="12" t="s">
        <v>433</v>
      </c>
      <c r="T40" s="28" t="s">
        <v>431</v>
      </c>
      <c r="U40" s="28" t="s">
        <v>78</v>
      </c>
      <c r="V40" s="28">
        <v>2</v>
      </c>
      <c r="W40" s="12">
        <v>1</v>
      </c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>
        <v>1</v>
      </c>
      <c r="AK40" s="4">
        <v>1260</v>
      </c>
      <c r="AL40" s="4"/>
      <c r="AM40" s="4"/>
      <c r="AN40" s="4"/>
      <c r="AO40" s="4"/>
      <c r="AP40" s="4"/>
      <c r="AQ40" s="4"/>
      <c r="AR40" s="4"/>
      <c r="AS40" s="4"/>
      <c r="AT40" s="12"/>
      <c r="AU40" s="12">
        <v>12</v>
      </c>
      <c r="AV40" s="12"/>
      <c r="AW40" s="12">
        <v>126</v>
      </c>
      <c r="AX40" s="12"/>
      <c r="AY40" s="12">
        <v>108</v>
      </c>
      <c r="BA40" s="2"/>
      <c r="BB40" s="2"/>
    </row>
    <row r="41" spans="1:54" hidden="1" x14ac:dyDescent="0.3">
      <c r="A41" s="4"/>
      <c r="B41" s="32">
        <v>2</v>
      </c>
      <c r="C41" s="32" t="s">
        <v>119</v>
      </c>
      <c r="D41" s="5" t="s">
        <v>441</v>
      </c>
      <c r="E41" s="33" t="s">
        <v>147</v>
      </c>
      <c r="F41" s="5" t="s">
        <v>148</v>
      </c>
      <c r="G41" s="33" t="s">
        <v>147</v>
      </c>
      <c r="H41" s="71">
        <v>186838.66694299999</v>
      </c>
      <c r="I41" s="71">
        <v>6776102.0938569997</v>
      </c>
      <c r="J41" s="4"/>
      <c r="K41" s="28" t="s">
        <v>68</v>
      </c>
      <c r="L41" s="34">
        <v>0</v>
      </c>
      <c r="M41" s="34">
        <v>0</v>
      </c>
      <c r="N41" s="34">
        <v>1</v>
      </c>
      <c r="O41" s="36">
        <v>0</v>
      </c>
      <c r="P41" s="5"/>
      <c r="Q41" s="5"/>
      <c r="R41" s="14" t="s">
        <v>9</v>
      </c>
      <c r="S41" s="12" t="s">
        <v>433</v>
      </c>
      <c r="T41" s="28" t="s">
        <v>431</v>
      </c>
      <c r="U41" s="28" t="s">
        <v>78</v>
      </c>
      <c r="V41" s="28">
        <v>2</v>
      </c>
      <c r="W41" s="12">
        <v>1</v>
      </c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>
        <v>1</v>
      </c>
      <c r="AK41" s="4">
        <v>1260</v>
      </c>
      <c r="AL41" s="4"/>
      <c r="AM41" s="4"/>
      <c r="AN41" s="4"/>
      <c r="AO41" s="4"/>
      <c r="AP41" s="4"/>
      <c r="AQ41" s="4"/>
      <c r="AR41" s="4"/>
      <c r="AS41" s="4"/>
      <c r="AT41" s="12"/>
      <c r="AU41" s="12">
        <v>12</v>
      </c>
      <c r="AV41" s="12"/>
      <c r="AW41" s="12">
        <v>126</v>
      </c>
      <c r="AX41" s="12"/>
      <c r="AY41" s="12">
        <v>108</v>
      </c>
    </row>
    <row r="42" spans="1:54" hidden="1" x14ac:dyDescent="0.3">
      <c r="A42" s="4"/>
      <c r="B42" s="32">
        <v>2</v>
      </c>
      <c r="C42" s="32" t="s">
        <v>119</v>
      </c>
      <c r="D42" s="5" t="s">
        <v>441</v>
      </c>
      <c r="E42" s="33" t="s">
        <v>149</v>
      </c>
      <c r="F42" s="5" t="s">
        <v>150</v>
      </c>
      <c r="G42" s="33" t="s">
        <v>149</v>
      </c>
      <c r="H42" s="71">
        <v>210649.77549299999</v>
      </c>
      <c r="I42" s="71">
        <v>6818403.3523129998</v>
      </c>
      <c r="J42" s="4"/>
      <c r="K42" s="28" t="s">
        <v>68</v>
      </c>
      <c r="L42" s="34">
        <v>0</v>
      </c>
      <c r="M42" s="34">
        <v>0</v>
      </c>
      <c r="N42" s="34">
        <v>1</v>
      </c>
      <c r="O42" s="36">
        <v>1</v>
      </c>
      <c r="P42" s="5"/>
      <c r="Q42" s="5"/>
      <c r="R42" s="14" t="s">
        <v>9</v>
      </c>
      <c r="S42" s="12" t="s">
        <v>433</v>
      </c>
      <c r="T42" s="28" t="s">
        <v>77</v>
      </c>
      <c r="U42" s="54" t="s">
        <v>429</v>
      </c>
      <c r="V42" s="28">
        <v>1</v>
      </c>
      <c r="W42" s="12">
        <v>1</v>
      </c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>
        <v>1</v>
      </c>
      <c r="AO42" s="4">
        <v>1200</v>
      </c>
      <c r="AP42" s="4"/>
      <c r="AQ42" s="4"/>
      <c r="AR42" s="4"/>
      <c r="AS42" s="4"/>
      <c r="AT42" s="12"/>
      <c r="AU42" s="12">
        <v>12</v>
      </c>
      <c r="AV42" s="12"/>
      <c r="AW42" s="12">
        <v>126</v>
      </c>
      <c r="AX42" s="12"/>
      <c r="AY42" s="12">
        <v>108</v>
      </c>
    </row>
    <row r="43" spans="1:54" hidden="1" x14ac:dyDescent="0.3">
      <c r="A43" s="4"/>
      <c r="B43" s="32">
        <v>2</v>
      </c>
      <c r="C43" s="32" t="s">
        <v>119</v>
      </c>
      <c r="D43" s="5" t="s">
        <v>441</v>
      </c>
      <c r="E43" s="33" t="s">
        <v>151</v>
      </c>
      <c r="F43" s="5" t="s">
        <v>152</v>
      </c>
      <c r="G43" s="33" t="s">
        <v>151</v>
      </c>
      <c r="H43" s="71">
        <v>154570.00020000001</v>
      </c>
      <c r="I43" s="71">
        <v>6854227.0001980001</v>
      </c>
      <c r="J43" s="4"/>
      <c r="K43" s="28" t="s">
        <v>68</v>
      </c>
      <c r="L43" s="34">
        <v>0</v>
      </c>
      <c r="M43" s="34">
        <v>0</v>
      </c>
      <c r="N43" s="34">
        <v>1</v>
      </c>
      <c r="O43" s="36">
        <v>0</v>
      </c>
      <c r="P43" s="5"/>
      <c r="Q43" s="5"/>
      <c r="R43" s="14" t="s">
        <v>9</v>
      </c>
      <c r="S43" s="12" t="s">
        <v>433</v>
      </c>
      <c r="T43" s="28" t="s">
        <v>431</v>
      </c>
      <c r="U43" s="28" t="s">
        <v>78</v>
      </c>
      <c r="V43" s="28">
        <v>2</v>
      </c>
      <c r="W43" s="12">
        <v>1</v>
      </c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>
        <v>1</v>
      </c>
      <c r="AK43" s="4">
        <v>1260</v>
      </c>
      <c r="AL43" s="4"/>
      <c r="AM43" s="4"/>
      <c r="AN43" s="4"/>
      <c r="AO43" s="4"/>
      <c r="AP43" s="4"/>
      <c r="AQ43" s="4"/>
      <c r="AR43" s="4"/>
      <c r="AS43" s="4"/>
      <c r="AT43" s="12"/>
      <c r="AU43" s="12">
        <v>12</v>
      </c>
      <c r="AV43" s="12"/>
      <c r="AW43" s="12">
        <v>126</v>
      </c>
      <c r="AX43" s="12"/>
      <c r="AY43" s="12">
        <v>108</v>
      </c>
    </row>
    <row r="44" spans="1:54" hidden="1" x14ac:dyDescent="0.3">
      <c r="A44" s="4"/>
      <c r="B44" s="32">
        <v>2</v>
      </c>
      <c r="C44" s="32" t="s">
        <v>119</v>
      </c>
      <c r="D44" s="5" t="s">
        <v>441</v>
      </c>
      <c r="E44" s="33" t="s">
        <v>153</v>
      </c>
      <c r="F44" s="5" t="s">
        <v>154</v>
      </c>
      <c r="G44" s="33" t="s">
        <v>153</v>
      </c>
      <c r="H44" s="71">
        <v>174994.00020000001</v>
      </c>
      <c r="I44" s="71">
        <v>6811640.9999980005</v>
      </c>
      <c r="J44" s="4"/>
      <c r="K44" s="28" t="s">
        <v>68</v>
      </c>
      <c r="L44" s="34">
        <v>0</v>
      </c>
      <c r="M44" s="34">
        <v>0</v>
      </c>
      <c r="N44" s="34">
        <v>1</v>
      </c>
      <c r="O44" s="36">
        <v>0</v>
      </c>
      <c r="P44" s="5"/>
      <c r="Q44" s="5"/>
      <c r="R44" s="14" t="s">
        <v>9</v>
      </c>
      <c r="S44" s="14" t="s">
        <v>434</v>
      </c>
      <c r="T44" s="28" t="s">
        <v>77</v>
      </c>
      <c r="U44" s="28" t="s">
        <v>79</v>
      </c>
      <c r="V44" s="28">
        <v>1</v>
      </c>
      <c r="W44" s="12">
        <v>1</v>
      </c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>
        <v>1</v>
      </c>
      <c r="AM44" s="4">
        <v>1200</v>
      </c>
      <c r="AN44" s="4"/>
      <c r="AO44" s="4"/>
      <c r="AP44" s="4"/>
      <c r="AQ44" s="4"/>
      <c r="AR44" s="4"/>
      <c r="AS44" s="4"/>
      <c r="AT44" s="12"/>
      <c r="AU44" s="12">
        <v>12</v>
      </c>
      <c r="AV44" s="12"/>
      <c r="AW44" s="12">
        <v>126</v>
      </c>
      <c r="AX44" s="12"/>
      <c r="AY44" s="12">
        <v>108</v>
      </c>
    </row>
    <row r="45" spans="1:54" hidden="1" x14ac:dyDescent="0.3">
      <c r="A45" s="4"/>
      <c r="B45" s="32">
        <v>2</v>
      </c>
      <c r="C45" s="32" t="s">
        <v>119</v>
      </c>
      <c r="D45" s="5" t="s">
        <v>441</v>
      </c>
      <c r="E45" s="33" t="s">
        <v>155</v>
      </c>
      <c r="F45" s="5" t="s">
        <v>156</v>
      </c>
      <c r="G45" s="33" t="s">
        <v>155</v>
      </c>
      <c r="H45" s="71">
        <v>144373.99979999999</v>
      </c>
      <c r="I45" s="71">
        <v>6797260.9997979999</v>
      </c>
      <c r="J45" s="4"/>
      <c r="K45" s="28" t="s">
        <v>68</v>
      </c>
      <c r="L45" s="34">
        <v>0</v>
      </c>
      <c r="M45" s="34">
        <v>0</v>
      </c>
      <c r="N45" s="34">
        <v>1</v>
      </c>
      <c r="O45" s="36">
        <v>1</v>
      </c>
      <c r="P45" s="5"/>
      <c r="Q45" s="5"/>
      <c r="R45" s="14" t="s">
        <v>9</v>
      </c>
      <c r="S45" s="12" t="s">
        <v>433</v>
      </c>
      <c r="T45" s="28" t="s">
        <v>431</v>
      </c>
      <c r="U45" s="28" t="s">
        <v>78</v>
      </c>
      <c r="V45" s="28">
        <v>2</v>
      </c>
      <c r="W45" s="12">
        <v>1</v>
      </c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>
        <v>1</v>
      </c>
      <c r="AK45" s="4">
        <v>1260</v>
      </c>
      <c r="AL45" s="4"/>
      <c r="AM45" s="4"/>
      <c r="AN45" s="4"/>
      <c r="AO45" s="4"/>
      <c r="AP45" s="4"/>
      <c r="AQ45" s="4"/>
      <c r="AR45" s="4"/>
      <c r="AS45" s="4"/>
      <c r="AT45" s="12"/>
      <c r="AU45" s="12">
        <v>12</v>
      </c>
      <c r="AV45" s="12"/>
      <c r="AW45" s="12">
        <v>126</v>
      </c>
      <c r="AX45" s="12"/>
      <c r="AY45" s="12">
        <v>108</v>
      </c>
    </row>
    <row r="46" spans="1:54" x14ac:dyDescent="0.3">
      <c r="A46" s="4"/>
      <c r="B46" s="32">
        <v>2</v>
      </c>
      <c r="C46" s="32" t="s">
        <v>119</v>
      </c>
      <c r="D46" s="5" t="s">
        <v>441</v>
      </c>
      <c r="E46" s="33" t="s">
        <v>157</v>
      </c>
      <c r="F46" s="5" t="s">
        <v>158</v>
      </c>
      <c r="G46" s="33" t="s">
        <v>157</v>
      </c>
      <c r="H46" s="71">
        <v>160014</v>
      </c>
      <c r="I46" s="71">
        <v>6799853.9999980005</v>
      </c>
      <c r="J46" s="4"/>
      <c r="K46" s="28" t="s">
        <v>67</v>
      </c>
      <c r="L46" s="34">
        <v>0</v>
      </c>
      <c r="M46" s="34">
        <v>0</v>
      </c>
      <c r="N46" s="34">
        <v>1</v>
      </c>
      <c r="O46" s="36">
        <v>1</v>
      </c>
      <c r="P46" s="5"/>
      <c r="Q46" s="5"/>
      <c r="R46" s="14" t="s">
        <v>9</v>
      </c>
      <c r="S46" s="12" t="s">
        <v>433</v>
      </c>
      <c r="T46" s="28" t="s">
        <v>431</v>
      </c>
      <c r="U46" s="28" t="s">
        <v>78</v>
      </c>
      <c r="V46" s="28">
        <v>2</v>
      </c>
      <c r="W46" s="4"/>
      <c r="X46" s="12">
        <v>1</v>
      </c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12">
        <v>1</v>
      </c>
      <c r="AK46" s="12">
        <v>1260</v>
      </c>
      <c r="AL46" s="4"/>
      <c r="AM46" s="4"/>
      <c r="AN46" s="4"/>
      <c r="AO46" s="4"/>
      <c r="AP46" s="4"/>
      <c r="AQ46" s="4"/>
      <c r="AR46" s="4"/>
      <c r="AS46" s="4"/>
      <c r="AT46" s="12">
        <v>1</v>
      </c>
      <c r="AU46" s="12">
        <v>12</v>
      </c>
      <c r="AV46" s="12">
        <v>1</v>
      </c>
      <c r="AW46" s="12">
        <v>126</v>
      </c>
      <c r="AX46" s="12">
        <v>1</v>
      </c>
      <c r="AY46" s="12">
        <v>108</v>
      </c>
    </row>
    <row r="47" spans="1:54" x14ac:dyDescent="0.3">
      <c r="A47" s="4"/>
      <c r="B47" s="32">
        <v>2</v>
      </c>
      <c r="C47" s="32" t="s">
        <v>119</v>
      </c>
      <c r="D47" s="5" t="s">
        <v>441</v>
      </c>
      <c r="E47" s="33" t="s">
        <v>159</v>
      </c>
      <c r="F47" s="5" t="s">
        <v>160</v>
      </c>
      <c r="G47" s="33" t="s">
        <v>159</v>
      </c>
      <c r="H47" s="71">
        <v>177393.38329200001</v>
      </c>
      <c r="I47" s="71">
        <v>6793354.1696589999</v>
      </c>
      <c r="J47" s="4"/>
      <c r="K47" s="28" t="s">
        <v>67</v>
      </c>
      <c r="L47" s="34">
        <v>0</v>
      </c>
      <c r="M47" s="34">
        <v>0</v>
      </c>
      <c r="N47" s="34">
        <v>1</v>
      </c>
      <c r="O47" s="36">
        <v>0</v>
      </c>
      <c r="P47" s="5"/>
      <c r="Q47" s="5"/>
      <c r="R47" s="14" t="s">
        <v>9</v>
      </c>
      <c r="S47" s="12" t="s">
        <v>433</v>
      </c>
      <c r="T47" s="28" t="s">
        <v>430</v>
      </c>
      <c r="U47" s="28" t="s">
        <v>78</v>
      </c>
      <c r="V47" s="28">
        <v>1</v>
      </c>
      <c r="W47" s="4"/>
      <c r="X47" s="12">
        <v>1</v>
      </c>
      <c r="Y47" s="4"/>
      <c r="Z47" s="4"/>
      <c r="AA47" s="4"/>
      <c r="AB47" s="4"/>
      <c r="AC47" s="4"/>
      <c r="AD47" s="4"/>
      <c r="AE47" s="4"/>
      <c r="AF47" s="4"/>
      <c r="AG47" s="4"/>
      <c r="AH47" s="4">
        <v>1</v>
      </c>
      <c r="AI47" s="4">
        <v>768</v>
      </c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12">
        <v>1</v>
      </c>
      <c r="AU47" s="12">
        <v>12</v>
      </c>
      <c r="AV47" s="12">
        <v>1</v>
      </c>
      <c r="AW47" s="12">
        <v>126</v>
      </c>
      <c r="AX47" s="12">
        <v>1</v>
      </c>
      <c r="AY47" s="12">
        <v>108</v>
      </c>
    </row>
    <row r="48" spans="1:54" x14ac:dyDescent="0.3">
      <c r="A48" s="4"/>
      <c r="B48" s="32">
        <v>2</v>
      </c>
      <c r="C48" s="32">
        <v>29</v>
      </c>
      <c r="D48" s="5" t="s">
        <v>441</v>
      </c>
      <c r="E48" s="33" t="s">
        <v>161</v>
      </c>
      <c r="F48" s="5" t="s">
        <v>162</v>
      </c>
      <c r="G48" s="33" t="s">
        <v>161</v>
      </c>
      <c r="H48" s="71">
        <v>218544</v>
      </c>
      <c r="I48" s="71">
        <v>6777572.9999980005</v>
      </c>
      <c r="J48" s="4"/>
      <c r="K48" s="28" t="s">
        <v>67</v>
      </c>
      <c r="L48" s="34">
        <v>0</v>
      </c>
      <c r="M48" s="34">
        <v>0</v>
      </c>
      <c r="N48" s="34">
        <v>1</v>
      </c>
      <c r="O48" s="36">
        <v>1</v>
      </c>
      <c r="P48" s="5"/>
      <c r="Q48" s="5"/>
      <c r="R48" s="14" t="s">
        <v>9</v>
      </c>
      <c r="S48" s="12" t="s">
        <v>433</v>
      </c>
      <c r="T48" s="28" t="s">
        <v>430</v>
      </c>
      <c r="U48" s="28" t="s">
        <v>78</v>
      </c>
      <c r="V48" s="28">
        <v>1</v>
      </c>
      <c r="W48" s="4"/>
      <c r="X48" s="12">
        <v>1</v>
      </c>
      <c r="Y48" s="4"/>
      <c r="Z48" s="4"/>
      <c r="AA48" s="4"/>
      <c r="AB48" s="4"/>
      <c r="AC48" s="4"/>
      <c r="AD48" s="4"/>
      <c r="AE48" s="4"/>
      <c r="AF48" s="4"/>
      <c r="AG48" s="4"/>
      <c r="AH48" s="4">
        <v>1</v>
      </c>
      <c r="AI48" s="4">
        <v>768</v>
      </c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12">
        <v>1</v>
      </c>
      <c r="AU48" s="12">
        <v>12</v>
      </c>
      <c r="AV48" s="12">
        <v>1</v>
      </c>
      <c r="AW48" s="12">
        <v>126</v>
      </c>
      <c r="AX48" s="12">
        <v>1</v>
      </c>
      <c r="AY48" s="12">
        <v>108</v>
      </c>
    </row>
    <row r="49" spans="1:51" x14ac:dyDescent="0.3">
      <c r="A49" s="4"/>
      <c r="B49" s="32">
        <v>2</v>
      </c>
      <c r="C49" s="32" t="s">
        <v>119</v>
      </c>
      <c r="D49" s="5" t="s">
        <v>441</v>
      </c>
      <c r="E49" s="33" t="s">
        <v>163</v>
      </c>
      <c r="F49" s="5" t="s">
        <v>164</v>
      </c>
      <c r="G49" s="33" t="s">
        <v>163</v>
      </c>
      <c r="H49" s="71">
        <v>154149.17757100001</v>
      </c>
      <c r="I49" s="71">
        <v>6850543.1818639999</v>
      </c>
      <c r="J49" s="4"/>
      <c r="K49" s="28" t="s">
        <v>67</v>
      </c>
      <c r="L49" s="34">
        <v>0</v>
      </c>
      <c r="M49" s="34">
        <v>0</v>
      </c>
      <c r="N49" s="34">
        <v>1</v>
      </c>
      <c r="O49" s="36">
        <v>0</v>
      </c>
      <c r="P49" s="5"/>
      <c r="Q49" s="5"/>
      <c r="R49" s="14" t="s">
        <v>9</v>
      </c>
      <c r="S49" s="12" t="s">
        <v>433</v>
      </c>
      <c r="T49" s="28" t="s">
        <v>431</v>
      </c>
      <c r="U49" s="28" t="s">
        <v>78</v>
      </c>
      <c r="V49" s="28">
        <v>2</v>
      </c>
      <c r="W49" s="4"/>
      <c r="X49" s="12">
        <v>1</v>
      </c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12">
        <v>1</v>
      </c>
      <c r="AK49" s="12">
        <v>1260</v>
      </c>
      <c r="AL49" s="4"/>
      <c r="AM49" s="4"/>
      <c r="AN49" s="4"/>
      <c r="AO49" s="4"/>
      <c r="AP49" s="4"/>
      <c r="AQ49" s="4"/>
      <c r="AR49" s="4"/>
      <c r="AS49" s="4"/>
      <c r="AT49" s="12">
        <v>1</v>
      </c>
      <c r="AU49" s="12">
        <v>12</v>
      </c>
      <c r="AV49" s="12">
        <v>1</v>
      </c>
      <c r="AW49" s="12">
        <v>126</v>
      </c>
      <c r="AX49" s="12">
        <v>1</v>
      </c>
      <c r="AY49" s="12">
        <v>108</v>
      </c>
    </row>
    <row r="50" spans="1:51" x14ac:dyDescent="0.3">
      <c r="A50" s="4"/>
      <c r="B50" s="32">
        <v>2</v>
      </c>
      <c r="C50" s="32" t="s">
        <v>119</v>
      </c>
      <c r="D50" s="5" t="s">
        <v>441</v>
      </c>
      <c r="E50" s="33" t="s">
        <v>165</v>
      </c>
      <c r="F50" s="5" t="s">
        <v>166</v>
      </c>
      <c r="G50" s="33" t="s">
        <v>165</v>
      </c>
      <c r="H50" s="71">
        <v>201528</v>
      </c>
      <c r="I50" s="71">
        <v>6855709.9997979999</v>
      </c>
      <c r="J50" s="4"/>
      <c r="K50" s="28" t="s">
        <v>67</v>
      </c>
      <c r="L50" s="34">
        <v>0</v>
      </c>
      <c r="M50" s="34">
        <v>0</v>
      </c>
      <c r="N50" s="34">
        <v>1</v>
      </c>
      <c r="O50" s="36">
        <v>0</v>
      </c>
      <c r="P50" s="5"/>
      <c r="Q50" s="5"/>
      <c r="R50" s="14" t="s">
        <v>9</v>
      </c>
      <c r="S50" s="12" t="s">
        <v>433</v>
      </c>
      <c r="T50" s="28" t="s">
        <v>431</v>
      </c>
      <c r="U50" s="28" t="s">
        <v>78</v>
      </c>
      <c r="V50" s="28">
        <v>2</v>
      </c>
      <c r="W50" s="4"/>
      <c r="X50" s="12">
        <v>1</v>
      </c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12">
        <v>1</v>
      </c>
      <c r="AK50" s="12">
        <v>1260</v>
      </c>
      <c r="AL50" s="4"/>
      <c r="AM50" s="4"/>
      <c r="AN50" s="4"/>
      <c r="AO50" s="4"/>
      <c r="AP50" s="4"/>
      <c r="AQ50" s="4"/>
      <c r="AR50" s="4"/>
      <c r="AS50" s="4"/>
      <c r="AT50" s="12">
        <v>1</v>
      </c>
      <c r="AU50" s="12">
        <v>12</v>
      </c>
      <c r="AV50" s="12">
        <v>1</v>
      </c>
      <c r="AW50" s="12">
        <v>126</v>
      </c>
      <c r="AX50" s="12">
        <v>1</v>
      </c>
      <c r="AY50" s="12">
        <v>108</v>
      </c>
    </row>
    <row r="51" spans="1:51" x14ac:dyDescent="0.3">
      <c r="A51" s="4"/>
      <c r="B51" s="32">
        <v>2</v>
      </c>
      <c r="C51" s="32" t="s">
        <v>119</v>
      </c>
      <c r="D51" s="5" t="s">
        <v>441</v>
      </c>
      <c r="E51" s="33" t="s">
        <v>167</v>
      </c>
      <c r="F51" s="5" t="s">
        <v>168</v>
      </c>
      <c r="G51" s="33" t="s">
        <v>167</v>
      </c>
      <c r="H51" s="71">
        <v>196108.00020000001</v>
      </c>
      <c r="I51" s="71">
        <v>6850006.0001980001</v>
      </c>
      <c r="J51" s="4"/>
      <c r="K51" s="28" t="s">
        <v>67</v>
      </c>
      <c r="L51" s="34">
        <v>0</v>
      </c>
      <c r="M51" s="34">
        <v>0</v>
      </c>
      <c r="N51" s="34">
        <v>1</v>
      </c>
      <c r="O51" s="36">
        <v>0</v>
      </c>
      <c r="P51" s="5"/>
      <c r="Q51" s="5"/>
      <c r="R51" s="14" t="s">
        <v>9</v>
      </c>
      <c r="S51" s="12" t="s">
        <v>433</v>
      </c>
      <c r="T51" s="78" t="s">
        <v>431</v>
      </c>
      <c r="U51" s="28" t="s">
        <v>78</v>
      </c>
      <c r="V51" s="28">
        <v>2</v>
      </c>
      <c r="W51" s="4"/>
      <c r="X51" s="12">
        <v>1</v>
      </c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12">
        <v>1</v>
      </c>
      <c r="AK51" s="12">
        <v>1260</v>
      </c>
      <c r="AL51" s="4"/>
      <c r="AM51" s="4"/>
      <c r="AN51" s="4"/>
      <c r="AO51" s="4"/>
      <c r="AP51" s="4"/>
      <c r="AQ51" s="4"/>
      <c r="AR51" s="4"/>
      <c r="AS51" s="4"/>
      <c r="AT51" s="12">
        <v>1</v>
      </c>
      <c r="AU51" s="12">
        <v>12</v>
      </c>
      <c r="AV51" s="12">
        <v>1</v>
      </c>
      <c r="AW51" s="12">
        <v>126</v>
      </c>
      <c r="AX51" s="12">
        <v>1</v>
      </c>
      <c r="AY51" s="12">
        <v>108</v>
      </c>
    </row>
    <row r="52" spans="1:51" x14ac:dyDescent="0.3">
      <c r="A52" s="4"/>
      <c r="B52" s="32">
        <v>2</v>
      </c>
      <c r="C52" s="32" t="s">
        <v>119</v>
      </c>
      <c r="D52" s="5" t="s">
        <v>441</v>
      </c>
      <c r="E52" s="33" t="s">
        <v>169</v>
      </c>
      <c r="F52" s="5" t="s">
        <v>170</v>
      </c>
      <c r="G52" s="33" t="s">
        <v>169</v>
      </c>
      <c r="H52" s="71">
        <v>179086.00020000001</v>
      </c>
      <c r="I52" s="71">
        <v>6858373.0001980001</v>
      </c>
      <c r="J52" s="4"/>
      <c r="K52" s="28" t="s">
        <v>67</v>
      </c>
      <c r="L52" s="34">
        <v>0</v>
      </c>
      <c r="M52" s="34">
        <v>0</v>
      </c>
      <c r="N52" s="34">
        <v>1</v>
      </c>
      <c r="O52" s="36">
        <v>0</v>
      </c>
      <c r="P52" s="5"/>
      <c r="Q52" s="5"/>
      <c r="R52" s="14" t="s">
        <v>9</v>
      </c>
      <c r="S52" s="12" t="s">
        <v>433</v>
      </c>
      <c r="T52" s="28" t="s">
        <v>431</v>
      </c>
      <c r="U52" s="28" t="s">
        <v>78</v>
      </c>
      <c r="V52" s="28">
        <v>2</v>
      </c>
      <c r="W52" s="4"/>
      <c r="X52" s="12">
        <v>1</v>
      </c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12">
        <v>1</v>
      </c>
      <c r="AK52" s="12">
        <v>1260</v>
      </c>
      <c r="AL52" s="4"/>
      <c r="AM52" s="4"/>
      <c r="AN52" s="4"/>
      <c r="AO52" s="4"/>
      <c r="AP52" s="4"/>
      <c r="AQ52" s="4"/>
      <c r="AR52" s="4"/>
      <c r="AS52" s="4"/>
      <c r="AT52" s="12">
        <v>1</v>
      </c>
      <c r="AU52" s="12">
        <v>12</v>
      </c>
      <c r="AV52" s="12">
        <v>1</v>
      </c>
      <c r="AW52" s="12">
        <v>126</v>
      </c>
      <c r="AX52" s="12">
        <v>1</v>
      </c>
      <c r="AY52" s="12">
        <v>108</v>
      </c>
    </row>
    <row r="53" spans="1:51" x14ac:dyDescent="0.3">
      <c r="A53" s="4"/>
      <c r="B53" s="32">
        <v>2</v>
      </c>
      <c r="C53" s="32" t="s">
        <v>119</v>
      </c>
      <c r="D53" s="5" t="s">
        <v>441</v>
      </c>
      <c r="E53" s="37" t="s">
        <v>171</v>
      </c>
      <c r="F53" s="5" t="s">
        <v>172</v>
      </c>
      <c r="G53" s="37" t="s">
        <v>171</v>
      </c>
      <c r="H53" s="72">
        <v>202660.00020000001</v>
      </c>
      <c r="I53" s="72">
        <v>6814156.9997979999</v>
      </c>
      <c r="J53" s="4"/>
      <c r="K53" s="28" t="s">
        <v>67</v>
      </c>
      <c r="L53" s="34">
        <v>0</v>
      </c>
      <c r="M53" s="34">
        <v>0</v>
      </c>
      <c r="N53" s="34">
        <v>1</v>
      </c>
      <c r="O53" s="36">
        <v>0</v>
      </c>
      <c r="P53" s="5"/>
      <c r="Q53" s="5"/>
      <c r="R53" s="14" t="s">
        <v>9</v>
      </c>
      <c r="S53" s="12" t="s">
        <v>433</v>
      </c>
      <c r="T53" s="28" t="s">
        <v>430</v>
      </c>
      <c r="U53" s="54" t="s">
        <v>429</v>
      </c>
      <c r="V53" s="28">
        <v>1</v>
      </c>
      <c r="W53" s="4"/>
      <c r="X53" s="12">
        <v>1</v>
      </c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>
        <v>1</v>
      </c>
      <c r="AO53" s="4">
        <v>1200</v>
      </c>
      <c r="AP53" s="4"/>
      <c r="AQ53" s="4"/>
      <c r="AR53" s="4"/>
      <c r="AS53" s="4"/>
      <c r="AT53" s="12">
        <v>1</v>
      </c>
      <c r="AU53" s="12">
        <v>12</v>
      </c>
      <c r="AV53" s="12">
        <v>1</v>
      </c>
      <c r="AW53" s="12">
        <v>126</v>
      </c>
      <c r="AX53" s="12">
        <v>1</v>
      </c>
      <c r="AY53" s="12">
        <v>108</v>
      </c>
    </row>
    <row r="54" spans="1:51" hidden="1" x14ac:dyDescent="0.3">
      <c r="A54" s="4"/>
      <c r="B54" s="32">
        <v>2</v>
      </c>
      <c r="C54" s="32" t="s">
        <v>173</v>
      </c>
      <c r="D54" s="14" t="s">
        <v>444</v>
      </c>
      <c r="E54" s="33" t="s">
        <v>174</v>
      </c>
      <c r="F54" s="5" t="s">
        <v>175</v>
      </c>
      <c r="G54" s="33" t="s">
        <v>174</v>
      </c>
      <c r="H54" s="71">
        <v>366703.00020000001</v>
      </c>
      <c r="I54" s="71">
        <v>6817924.0001980001</v>
      </c>
      <c r="J54" s="4"/>
      <c r="K54" s="28" t="s">
        <v>428</v>
      </c>
      <c r="L54" s="34">
        <v>1</v>
      </c>
      <c r="M54" s="34">
        <v>0</v>
      </c>
      <c r="N54" s="34">
        <v>1</v>
      </c>
      <c r="O54" s="36">
        <v>1</v>
      </c>
      <c r="P54" s="5"/>
      <c r="Q54" s="5"/>
      <c r="R54" s="5" t="s">
        <v>8</v>
      </c>
      <c r="S54" s="12" t="s">
        <v>433</v>
      </c>
      <c r="T54" s="28" t="s">
        <v>77</v>
      </c>
      <c r="U54" s="28" t="s">
        <v>78</v>
      </c>
      <c r="V54" s="28">
        <v>1</v>
      </c>
      <c r="W54" s="12">
        <v>1</v>
      </c>
      <c r="X54" s="12">
        <v>1</v>
      </c>
      <c r="Y54" s="4"/>
      <c r="Z54" s="4">
        <v>1</v>
      </c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12"/>
      <c r="AW54" s="4"/>
      <c r="AX54" s="12"/>
      <c r="AY54" s="4"/>
    </row>
    <row r="55" spans="1:51" x14ac:dyDescent="0.3">
      <c r="A55" s="4"/>
      <c r="B55" s="32">
        <v>2</v>
      </c>
      <c r="C55" s="32" t="s">
        <v>173</v>
      </c>
      <c r="D55" s="5" t="s">
        <v>441</v>
      </c>
      <c r="E55" s="33" t="s">
        <v>176</v>
      </c>
      <c r="F55" s="5" t="s">
        <v>177</v>
      </c>
      <c r="G55" s="33" t="s">
        <v>176</v>
      </c>
      <c r="H55" s="71">
        <v>391672.99979999999</v>
      </c>
      <c r="I55" s="71">
        <v>6822217.9997979999</v>
      </c>
      <c r="J55" s="4"/>
      <c r="K55" s="28" t="s">
        <v>67</v>
      </c>
      <c r="L55" s="34">
        <v>0</v>
      </c>
      <c r="M55" s="34">
        <v>0</v>
      </c>
      <c r="N55" s="34">
        <v>1</v>
      </c>
      <c r="O55" s="36">
        <v>0</v>
      </c>
      <c r="P55" s="5"/>
      <c r="Q55" s="5"/>
      <c r="R55" s="14" t="s">
        <v>9</v>
      </c>
      <c r="S55" s="12" t="s">
        <v>433</v>
      </c>
      <c r="T55" s="28" t="s">
        <v>431</v>
      </c>
      <c r="U55" s="28" t="s">
        <v>78</v>
      </c>
      <c r="V55" s="28">
        <v>1</v>
      </c>
      <c r="W55" s="4"/>
      <c r="X55" s="12">
        <v>1</v>
      </c>
      <c r="Y55" s="4"/>
      <c r="Z55" s="4"/>
      <c r="AA55" s="4"/>
      <c r="AB55" s="4"/>
      <c r="AC55" s="4"/>
      <c r="AD55" s="4"/>
      <c r="AE55" s="4"/>
      <c r="AF55" s="4"/>
      <c r="AG55" s="4"/>
      <c r="AH55" s="4">
        <v>1</v>
      </c>
      <c r="AI55" s="4">
        <v>768</v>
      </c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12">
        <v>1</v>
      </c>
      <c r="AU55" s="12">
        <v>12</v>
      </c>
      <c r="AV55" s="12">
        <v>1</v>
      </c>
      <c r="AW55" s="12">
        <v>126</v>
      </c>
      <c r="AX55" s="12">
        <v>1</v>
      </c>
      <c r="AY55" s="12">
        <v>108</v>
      </c>
    </row>
    <row r="56" spans="1:51" x14ac:dyDescent="0.3">
      <c r="A56" s="4"/>
      <c r="B56" s="32">
        <v>2</v>
      </c>
      <c r="C56" s="32" t="s">
        <v>173</v>
      </c>
      <c r="D56" s="5" t="s">
        <v>441</v>
      </c>
      <c r="E56" s="33" t="s">
        <v>178</v>
      </c>
      <c r="F56" s="5" t="s">
        <v>179</v>
      </c>
      <c r="G56" s="33" t="s">
        <v>178</v>
      </c>
      <c r="H56" s="71">
        <v>392949</v>
      </c>
      <c r="I56" s="71">
        <v>6803368.9997979999</v>
      </c>
      <c r="J56" s="4"/>
      <c r="K56" s="28" t="s">
        <v>67</v>
      </c>
      <c r="L56" s="34">
        <v>0</v>
      </c>
      <c r="M56" s="34">
        <v>0</v>
      </c>
      <c r="N56" s="34">
        <v>1</v>
      </c>
      <c r="O56" s="36">
        <v>1</v>
      </c>
      <c r="P56" s="5"/>
      <c r="Q56" s="5"/>
      <c r="R56" s="14" t="s">
        <v>9</v>
      </c>
      <c r="S56" s="4" t="s">
        <v>433</v>
      </c>
      <c r="T56" s="28" t="s">
        <v>431</v>
      </c>
      <c r="U56" s="28" t="s">
        <v>78</v>
      </c>
      <c r="V56" s="28">
        <v>1</v>
      </c>
      <c r="W56" s="4"/>
      <c r="X56" s="12">
        <v>1</v>
      </c>
      <c r="Y56" s="4"/>
      <c r="Z56" s="4"/>
      <c r="AA56" s="4"/>
      <c r="AB56" s="4"/>
      <c r="AC56" s="4"/>
      <c r="AD56" s="4"/>
      <c r="AE56" s="4"/>
      <c r="AF56" s="4"/>
      <c r="AG56" s="4"/>
      <c r="AH56" s="4">
        <v>1</v>
      </c>
      <c r="AI56" s="4">
        <v>768</v>
      </c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12">
        <v>1</v>
      </c>
      <c r="AU56" s="12">
        <v>12</v>
      </c>
      <c r="AV56" s="12">
        <v>1</v>
      </c>
      <c r="AW56" s="12">
        <v>126</v>
      </c>
      <c r="AX56" s="12">
        <v>1</v>
      </c>
      <c r="AY56" s="12">
        <v>108</v>
      </c>
    </row>
    <row r="57" spans="1:51" hidden="1" x14ac:dyDescent="0.3">
      <c r="A57" s="4"/>
      <c r="B57" s="32">
        <v>2</v>
      </c>
      <c r="C57" s="32" t="s">
        <v>173</v>
      </c>
      <c r="D57" s="14" t="s">
        <v>444</v>
      </c>
      <c r="E57" s="33" t="s">
        <v>180</v>
      </c>
      <c r="F57" s="5" t="s">
        <v>181</v>
      </c>
      <c r="G57" s="33" t="s">
        <v>180</v>
      </c>
      <c r="H57" s="71">
        <v>335154</v>
      </c>
      <c r="I57" s="71">
        <v>6744679.9997979999</v>
      </c>
      <c r="J57" s="4"/>
      <c r="K57" s="28" t="s">
        <v>428</v>
      </c>
      <c r="L57" s="34">
        <v>1</v>
      </c>
      <c r="M57" s="34">
        <v>0</v>
      </c>
      <c r="N57" s="34">
        <v>1</v>
      </c>
      <c r="O57" s="36">
        <v>1</v>
      </c>
      <c r="P57" s="5"/>
      <c r="Q57" s="5"/>
      <c r="R57" s="5" t="s">
        <v>8</v>
      </c>
      <c r="S57" s="14" t="s">
        <v>434</v>
      </c>
      <c r="T57" s="28" t="s">
        <v>77</v>
      </c>
      <c r="U57" s="28" t="s">
        <v>79</v>
      </c>
      <c r="V57" s="28">
        <v>1</v>
      </c>
      <c r="W57" s="12">
        <v>1</v>
      </c>
      <c r="X57" s="12">
        <v>1</v>
      </c>
      <c r="Y57" s="4"/>
      <c r="Z57" s="4">
        <v>1</v>
      </c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12"/>
      <c r="AW57" s="4"/>
      <c r="AX57" s="12"/>
      <c r="AY57" s="4"/>
    </row>
    <row r="58" spans="1:51" hidden="1" x14ac:dyDescent="0.3">
      <c r="A58" s="4"/>
      <c r="B58" s="32">
        <v>2</v>
      </c>
      <c r="C58" s="32" t="s">
        <v>173</v>
      </c>
      <c r="D58" s="14" t="s">
        <v>444</v>
      </c>
      <c r="E58" s="33" t="s">
        <v>182</v>
      </c>
      <c r="F58" s="5" t="s">
        <v>183</v>
      </c>
      <c r="G58" s="33" t="s">
        <v>182</v>
      </c>
      <c r="H58" s="71">
        <v>349789.04036300001</v>
      </c>
      <c r="I58" s="71">
        <v>6763846.4423329998</v>
      </c>
      <c r="J58" s="4"/>
      <c r="K58" s="28" t="s">
        <v>428</v>
      </c>
      <c r="L58" s="34">
        <v>1</v>
      </c>
      <c r="M58" s="34">
        <v>0</v>
      </c>
      <c r="N58" s="34">
        <v>1</v>
      </c>
      <c r="O58" s="36">
        <v>1</v>
      </c>
      <c r="P58" s="12">
        <v>0</v>
      </c>
      <c r="Q58" s="5" t="s">
        <v>436</v>
      </c>
      <c r="R58" s="5" t="s">
        <v>8</v>
      </c>
      <c r="S58" s="14" t="s">
        <v>434</v>
      </c>
      <c r="T58" s="28" t="s">
        <v>77</v>
      </c>
      <c r="U58" s="28" t="s">
        <v>78</v>
      </c>
      <c r="V58" s="28">
        <v>1</v>
      </c>
      <c r="W58" s="12">
        <v>1</v>
      </c>
      <c r="X58" s="12">
        <v>1</v>
      </c>
      <c r="Y58" s="4"/>
      <c r="Z58" s="4">
        <v>1</v>
      </c>
      <c r="AA58" s="4">
        <v>1</v>
      </c>
      <c r="AB58" s="4"/>
      <c r="AC58" s="80">
        <v>1</v>
      </c>
      <c r="AD58" s="4">
        <v>0</v>
      </c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12"/>
      <c r="AW58" s="4"/>
      <c r="AX58" s="12"/>
      <c r="AY58" s="4"/>
    </row>
    <row r="59" spans="1:51" x14ac:dyDescent="0.3">
      <c r="A59" s="4"/>
      <c r="B59" s="32">
        <v>2</v>
      </c>
      <c r="C59" s="32" t="s">
        <v>173</v>
      </c>
      <c r="D59" s="5" t="s">
        <v>441</v>
      </c>
      <c r="E59" s="33" t="s">
        <v>184</v>
      </c>
      <c r="F59" s="5" t="s">
        <v>185</v>
      </c>
      <c r="G59" s="33" t="s">
        <v>184</v>
      </c>
      <c r="H59" s="71">
        <v>353286</v>
      </c>
      <c r="I59" s="71">
        <v>6813196.9997979999</v>
      </c>
      <c r="J59" s="4"/>
      <c r="K59" s="28" t="s">
        <v>67</v>
      </c>
      <c r="L59" s="34">
        <v>0</v>
      </c>
      <c r="M59" s="34">
        <v>0</v>
      </c>
      <c r="N59" s="34">
        <v>1</v>
      </c>
      <c r="O59" s="36">
        <v>1</v>
      </c>
      <c r="P59" s="5"/>
      <c r="Q59" s="5"/>
      <c r="R59" s="14" t="s">
        <v>9</v>
      </c>
      <c r="S59" s="14" t="s">
        <v>434</v>
      </c>
      <c r="T59" s="28" t="s">
        <v>431</v>
      </c>
      <c r="U59" s="28" t="s">
        <v>78</v>
      </c>
      <c r="V59" s="28">
        <v>1</v>
      </c>
      <c r="W59" s="4"/>
      <c r="X59" s="12">
        <v>1</v>
      </c>
      <c r="Y59" s="4"/>
      <c r="Z59" s="4"/>
      <c r="AA59" s="4"/>
      <c r="AB59" s="4"/>
      <c r="AC59" s="4"/>
      <c r="AD59" s="4"/>
      <c r="AE59" s="4"/>
      <c r="AF59" s="4"/>
      <c r="AG59" s="4"/>
      <c r="AH59" s="12">
        <v>1</v>
      </c>
      <c r="AI59" s="12">
        <v>768</v>
      </c>
      <c r="AJ59" s="12"/>
      <c r="AK59" s="12"/>
      <c r="AL59" s="4"/>
      <c r="AM59" s="4"/>
      <c r="AN59" s="4"/>
      <c r="AO59" s="4"/>
      <c r="AP59" s="4"/>
      <c r="AQ59" s="4"/>
      <c r="AR59" s="4"/>
      <c r="AS59" s="4"/>
      <c r="AT59" s="12">
        <v>1</v>
      </c>
      <c r="AU59" s="12">
        <v>12</v>
      </c>
      <c r="AV59" s="12">
        <v>1</v>
      </c>
      <c r="AW59" s="12">
        <v>126</v>
      </c>
      <c r="AX59" s="12">
        <v>1</v>
      </c>
      <c r="AY59" s="12">
        <v>108</v>
      </c>
    </row>
    <row r="60" spans="1:51" hidden="1" x14ac:dyDescent="0.3">
      <c r="A60" s="4"/>
      <c r="B60" s="32">
        <v>2</v>
      </c>
      <c r="C60" s="32" t="s">
        <v>173</v>
      </c>
      <c r="D60" s="5" t="s">
        <v>441</v>
      </c>
      <c r="E60" s="33" t="s">
        <v>186</v>
      </c>
      <c r="F60" s="5" t="s">
        <v>187</v>
      </c>
      <c r="G60" s="33" t="s">
        <v>186</v>
      </c>
      <c r="H60" s="71">
        <v>347541.12020399998</v>
      </c>
      <c r="I60" s="71">
        <v>6841819.1205430003</v>
      </c>
      <c r="J60" s="4"/>
      <c r="K60" s="28" t="s">
        <v>68</v>
      </c>
      <c r="L60" s="34">
        <v>0</v>
      </c>
      <c r="M60" s="34">
        <v>0</v>
      </c>
      <c r="N60" s="34">
        <v>1</v>
      </c>
      <c r="O60" s="36">
        <v>1</v>
      </c>
      <c r="P60" s="12">
        <v>1</v>
      </c>
      <c r="Q60" s="5" t="s">
        <v>436</v>
      </c>
      <c r="R60" s="14" t="s">
        <v>9</v>
      </c>
      <c r="S60" s="12" t="s">
        <v>433</v>
      </c>
      <c r="T60" s="28" t="s">
        <v>431</v>
      </c>
      <c r="U60" s="28" t="s">
        <v>78</v>
      </c>
      <c r="V60" s="28">
        <v>2</v>
      </c>
      <c r="W60" s="12">
        <v>1</v>
      </c>
      <c r="X60" s="4"/>
      <c r="Y60" s="4"/>
      <c r="Z60" s="4"/>
      <c r="AA60" s="4">
        <v>1</v>
      </c>
      <c r="AB60" s="4"/>
      <c r="AC60" s="80">
        <v>1</v>
      </c>
      <c r="AD60" s="4"/>
      <c r="AE60" s="4"/>
      <c r="AF60" s="4"/>
      <c r="AG60" s="4"/>
      <c r="AH60" s="4"/>
      <c r="AI60" s="4"/>
      <c r="AJ60" s="4">
        <v>1</v>
      </c>
      <c r="AK60" s="4">
        <v>1260</v>
      </c>
      <c r="AL60" s="4"/>
      <c r="AM60" s="4"/>
      <c r="AN60" s="4"/>
      <c r="AO60" s="4"/>
      <c r="AP60" s="4"/>
      <c r="AQ60" s="4"/>
      <c r="AR60" s="4">
        <v>1</v>
      </c>
      <c r="AS60" s="4">
        <v>240</v>
      </c>
      <c r="AT60" s="12"/>
      <c r="AU60" s="12">
        <v>12</v>
      </c>
      <c r="AV60" s="12"/>
      <c r="AW60" s="12">
        <v>126</v>
      </c>
      <c r="AX60" s="12"/>
      <c r="AY60" s="12">
        <v>108</v>
      </c>
    </row>
    <row r="61" spans="1:51" hidden="1" x14ac:dyDescent="0.3">
      <c r="A61" s="4"/>
      <c r="B61" s="32">
        <v>2</v>
      </c>
      <c r="C61" s="32" t="s">
        <v>173</v>
      </c>
      <c r="D61" s="14" t="s">
        <v>444</v>
      </c>
      <c r="E61" s="33" t="s">
        <v>188</v>
      </c>
      <c r="F61" s="5" t="s">
        <v>189</v>
      </c>
      <c r="G61" s="33" t="s">
        <v>188</v>
      </c>
      <c r="H61" s="71">
        <v>315433.00020000001</v>
      </c>
      <c r="I61" s="71">
        <v>6777127.9997979999</v>
      </c>
      <c r="J61" s="4"/>
      <c r="K61" s="28" t="s">
        <v>428</v>
      </c>
      <c r="L61" s="34">
        <v>0</v>
      </c>
      <c r="M61" s="34">
        <v>1</v>
      </c>
      <c r="N61" s="34">
        <v>1</v>
      </c>
      <c r="O61" s="36">
        <v>1</v>
      </c>
      <c r="P61" s="5"/>
      <c r="Q61" s="5"/>
      <c r="R61" s="14" t="s">
        <v>8</v>
      </c>
      <c r="S61" s="14" t="s">
        <v>434</v>
      </c>
      <c r="T61" s="28" t="s">
        <v>431</v>
      </c>
      <c r="U61" s="28" t="s">
        <v>78</v>
      </c>
      <c r="V61" s="28">
        <v>2</v>
      </c>
      <c r="W61" s="12">
        <v>1</v>
      </c>
      <c r="X61" s="12">
        <v>1</v>
      </c>
      <c r="Y61" s="77"/>
      <c r="Z61" s="4">
        <v>1</v>
      </c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12"/>
      <c r="AW61" s="4"/>
      <c r="AX61" s="12"/>
      <c r="AY61" s="4"/>
    </row>
    <row r="62" spans="1:51" hidden="1" x14ac:dyDescent="0.3">
      <c r="A62" s="4"/>
      <c r="B62" s="32">
        <v>2</v>
      </c>
      <c r="C62" s="32" t="s">
        <v>173</v>
      </c>
      <c r="D62" s="5" t="s">
        <v>441</v>
      </c>
      <c r="E62" s="33" t="s">
        <v>190</v>
      </c>
      <c r="F62" s="5" t="s">
        <v>191</v>
      </c>
      <c r="G62" s="33" t="s">
        <v>190</v>
      </c>
      <c r="H62" s="71">
        <v>348712.99979999999</v>
      </c>
      <c r="I62" s="71">
        <v>6779924.9999980005</v>
      </c>
      <c r="J62" s="4"/>
      <c r="K62" s="28" t="s">
        <v>68</v>
      </c>
      <c r="L62" s="34">
        <v>0</v>
      </c>
      <c r="M62" s="34">
        <v>0</v>
      </c>
      <c r="N62" s="34">
        <v>1</v>
      </c>
      <c r="O62" s="35">
        <v>0</v>
      </c>
      <c r="P62" s="5"/>
      <c r="Q62" s="5"/>
      <c r="R62" s="14" t="s">
        <v>9</v>
      </c>
      <c r="S62" s="14" t="s">
        <v>434</v>
      </c>
      <c r="T62" s="28" t="s">
        <v>77</v>
      </c>
      <c r="U62" s="28" t="s">
        <v>78</v>
      </c>
      <c r="V62" s="28">
        <v>1</v>
      </c>
      <c r="W62" s="12">
        <v>1</v>
      </c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>
        <v>1</v>
      </c>
      <c r="AI62" s="4">
        <v>768</v>
      </c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12"/>
      <c r="AU62" s="12">
        <v>12</v>
      </c>
      <c r="AV62" s="12"/>
      <c r="AW62" s="12">
        <v>126</v>
      </c>
      <c r="AX62" s="12"/>
      <c r="AY62" s="12">
        <v>108</v>
      </c>
    </row>
    <row r="63" spans="1:51" hidden="1" x14ac:dyDescent="0.3">
      <c r="A63" s="4"/>
      <c r="B63" s="32">
        <v>2</v>
      </c>
      <c r="C63" s="32" t="s">
        <v>173</v>
      </c>
      <c r="D63" s="5" t="s">
        <v>441</v>
      </c>
      <c r="E63" s="33" t="s">
        <v>192</v>
      </c>
      <c r="F63" s="5" t="s">
        <v>193</v>
      </c>
      <c r="G63" s="33" t="s">
        <v>192</v>
      </c>
      <c r="H63" s="71">
        <v>360091.99979999999</v>
      </c>
      <c r="I63" s="71">
        <v>6780706.0001980001</v>
      </c>
      <c r="J63" s="4"/>
      <c r="K63" s="28" t="s">
        <v>68</v>
      </c>
      <c r="L63" s="34">
        <v>0</v>
      </c>
      <c r="M63" s="34">
        <v>0</v>
      </c>
      <c r="N63" s="34">
        <v>1</v>
      </c>
      <c r="O63" s="36">
        <v>0</v>
      </c>
      <c r="P63" s="5"/>
      <c r="Q63" s="5"/>
      <c r="R63" s="14" t="s">
        <v>9</v>
      </c>
      <c r="S63" s="14" t="s">
        <v>433</v>
      </c>
      <c r="T63" s="28" t="s">
        <v>431</v>
      </c>
      <c r="U63" s="28" t="s">
        <v>78</v>
      </c>
      <c r="V63" s="28">
        <v>1</v>
      </c>
      <c r="W63" s="12">
        <v>1</v>
      </c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>
        <v>1</v>
      </c>
      <c r="AI63" s="4">
        <v>768</v>
      </c>
      <c r="AJ63" s="4"/>
      <c r="AK63" s="4"/>
      <c r="AL63" s="4"/>
      <c r="AM63" s="55"/>
      <c r="AN63" s="4"/>
      <c r="AO63" s="4"/>
      <c r="AP63" s="4"/>
      <c r="AQ63" s="4"/>
      <c r="AR63" s="4"/>
      <c r="AS63" s="4"/>
      <c r="AT63" s="12"/>
      <c r="AU63" s="12">
        <v>12</v>
      </c>
      <c r="AV63" s="12"/>
      <c r="AW63" s="12">
        <v>126</v>
      </c>
      <c r="AX63" s="12"/>
      <c r="AY63" s="12">
        <v>108</v>
      </c>
    </row>
    <row r="64" spans="1:51" hidden="1" x14ac:dyDescent="0.3">
      <c r="A64" s="4"/>
      <c r="B64" s="32">
        <v>2</v>
      </c>
      <c r="C64" s="32" t="s">
        <v>173</v>
      </c>
      <c r="D64" s="14" t="s">
        <v>444</v>
      </c>
      <c r="E64" s="33" t="s">
        <v>194</v>
      </c>
      <c r="F64" s="5" t="s">
        <v>195</v>
      </c>
      <c r="G64" s="33" t="s">
        <v>194</v>
      </c>
      <c r="H64" s="71">
        <v>344908.59222599998</v>
      </c>
      <c r="I64" s="71">
        <v>6777248.8370129997</v>
      </c>
      <c r="J64" s="4"/>
      <c r="K64" s="28" t="s">
        <v>428</v>
      </c>
      <c r="L64" s="34">
        <v>0</v>
      </c>
      <c r="M64" s="34">
        <v>0</v>
      </c>
      <c r="N64" s="34">
        <v>1</v>
      </c>
      <c r="O64" s="36">
        <v>1</v>
      </c>
      <c r="P64" s="12">
        <v>0</v>
      </c>
      <c r="Q64" s="5" t="s">
        <v>435</v>
      </c>
      <c r="R64" s="14" t="s">
        <v>8</v>
      </c>
      <c r="S64" s="14" t="s">
        <v>434</v>
      </c>
      <c r="T64" s="28" t="s">
        <v>77</v>
      </c>
      <c r="U64" s="28" t="s">
        <v>79</v>
      </c>
      <c r="V64" s="28">
        <v>1</v>
      </c>
      <c r="W64" s="12">
        <v>1</v>
      </c>
      <c r="X64" s="12">
        <v>1</v>
      </c>
      <c r="Y64" s="4"/>
      <c r="Z64" s="4">
        <v>0</v>
      </c>
      <c r="AA64" s="4">
        <v>1</v>
      </c>
      <c r="AB64" s="4">
        <v>1</v>
      </c>
      <c r="AC64" s="80">
        <v>1</v>
      </c>
      <c r="AD64" s="4">
        <v>0</v>
      </c>
      <c r="AE64" s="4" t="s">
        <v>437</v>
      </c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12"/>
      <c r="AW64" s="4"/>
      <c r="AX64" s="12"/>
      <c r="AY64" s="4"/>
    </row>
    <row r="65" spans="1:51" hidden="1" x14ac:dyDescent="0.3">
      <c r="A65" s="4"/>
      <c r="B65" s="32">
        <v>2</v>
      </c>
      <c r="C65" s="32" t="s">
        <v>173</v>
      </c>
      <c r="D65" s="5" t="s">
        <v>441</v>
      </c>
      <c r="E65" s="33" t="s">
        <v>196</v>
      </c>
      <c r="F65" s="5" t="s">
        <v>197</v>
      </c>
      <c r="G65" s="33" t="s">
        <v>196</v>
      </c>
      <c r="H65" s="71">
        <v>361129.00020000001</v>
      </c>
      <c r="I65" s="71">
        <v>6789649.9997979999</v>
      </c>
      <c r="J65" s="4"/>
      <c r="K65" s="28" t="s">
        <v>68</v>
      </c>
      <c r="L65" s="34">
        <v>0</v>
      </c>
      <c r="M65" s="34">
        <v>0</v>
      </c>
      <c r="N65" s="34">
        <v>1</v>
      </c>
      <c r="O65" s="36">
        <v>1</v>
      </c>
      <c r="P65" s="5"/>
      <c r="Q65" s="5"/>
      <c r="R65" s="14" t="s">
        <v>9</v>
      </c>
      <c r="S65" s="14" t="s">
        <v>434</v>
      </c>
      <c r="T65" s="28" t="s">
        <v>77</v>
      </c>
      <c r="U65" s="28" t="s">
        <v>79</v>
      </c>
      <c r="V65" s="28">
        <v>1</v>
      </c>
      <c r="W65" s="12">
        <v>1</v>
      </c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>
        <v>1</v>
      </c>
      <c r="AM65" s="4">
        <v>1200</v>
      </c>
      <c r="AN65" s="4"/>
      <c r="AO65" s="4"/>
      <c r="AP65" s="4"/>
      <c r="AQ65" s="4"/>
      <c r="AR65" s="4"/>
      <c r="AS65" s="4"/>
      <c r="AT65" s="12"/>
      <c r="AU65" s="12">
        <v>12</v>
      </c>
      <c r="AV65" s="12"/>
      <c r="AW65" s="12">
        <v>126</v>
      </c>
      <c r="AX65" s="12"/>
      <c r="AY65" s="12">
        <v>108</v>
      </c>
    </row>
    <row r="66" spans="1:51" hidden="1" x14ac:dyDescent="0.3">
      <c r="A66" s="4"/>
      <c r="B66" s="32">
        <v>2</v>
      </c>
      <c r="C66" s="32" t="s">
        <v>173</v>
      </c>
      <c r="D66" s="5" t="s">
        <v>441</v>
      </c>
      <c r="E66" s="33" t="s">
        <v>198</v>
      </c>
      <c r="F66" s="5" t="s">
        <v>199</v>
      </c>
      <c r="G66" s="33" t="s">
        <v>198</v>
      </c>
      <c r="H66" s="71">
        <v>344958</v>
      </c>
      <c r="I66" s="71">
        <v>6797569.9997979999</v>
      </c>
      <c r="J66" s="4"/>
      <c r="K66" s="28" t="s">
        <v>68</v>
      </c>
      <c r="L66" s="34">
        <v>0</v>
      </c>
      <c r="M66" s="34">
        <v>0</v>
      </c>
      <c r="N66" s="34">
        <v>1</v>
      </c>
      <c r="O66" s="36">
        <v>1</v>
      </c>
      <c r="P66" s="5"/>
      <c r="Q66" s="5"/>
      <c r="R66" s="14" t="s">
        <v>9</v>
      </c>
      <c r="S66" s="14" t="s">
        <v>433</v>
      </c>
      <c r="T66" s="28" t="s">
        <v>431</v>
      </c>
      <c r="U66" s="28" t="s">
        <v>78</v>
      </c>
      <c r="V66" s="28">
        <v>2</v>
      </c>
      <c r="W66" s="12">
        <v>1</v>
      </c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>
        <v>1</v>
      </c>
      <c r="AK66" s="4">
        <v>1260</v>
      </c>
      <c r="AL66" s="4"/>
      <c r="AM66" s="4"/>
      <c r="AN66" s="4"/>
      <c r="AO66" s="4"/>
      <c r="AP66" s="4"/>
      <c r="AQ66" s="4"/>
      <c r="AR66" s="4"/>
      <c r="AS66" s="4"/>
      <c r="AT66" s="12"/>
      <c r="AU66" s="12">
        <v>12</v>
      </c>
      <c r="AV66" s="12"/>
      <c r="AW66" s="12">
        <v>126</v>
      </c>
      <c r="AX66" s="12"/>
      <c r="AY66" s="12">
        <v>108</v>
      </c>
    </row>
    <row r="67" spans="1:51" hidden="1" x14ac:dyDescent="0.3">
      <c r="A67" s="4"/>
      <c r="B67" s="32">
        <v>2</v>
      </c>
      <c r="C67" s="32">
        <v>35</v>
      </c>
      <c r="D67" s="5" t="s">
        <v>441</v>
      </c>
      <c r="E67" s="33" t="s">
        <v>200</v>
      </c>
      <c r="F67" s="5" t="s">
        <v>201</v>
      </c>
      <c r="G67" s="33" t="s">
        <v>200</v>
      </c>
      <c r="H67" s="71">
        <v>361128.17102299997</v>
      </c>
      <c r="I67" s="71">
        <v>6833208.7262580004</v>
      </c>
      <c r="J67" s="4"/>
      <c r="K67" s="28" t="s">
        <v>68</v>
      </c>
      <c r="L67" s="34">
        <v>0</v>
      </c>
      <c r="M67" s="34">
        <v>0</v>
      </c>
      <c r="N67" s="34">
        <v>1</v>
      </c>
      <c r="O67" s="36">
        <v>1</v>
      </c>
      <c r="P67" s="5"/>
      <c r="Q67" s="5"/>
      <c r="R67" s="14" t="s">
        <v>9</v>
      </c>
      <c r="S67" s="4" t="s">
        <v>433</v>
      </c>
      <c r="T67" s="28" t="s">
        <v>431</v>
      </c>
      <c r="U67" s="28" t="s">
        <v>78</v>
      </c>
      <c r="V67" s="28">
        <v>1</v>
      </c>
      <c r="W67" s="12">
        <v>1</v>
      </c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>
        <v>1</v>
      </c>
      <c r="AI67" s="4">
        <v>768</v>
      </c>
      <c r="AJ67" s="4"/>
      <c r="AK67" s="4"/>
      <c r="AL67" s="4"/>
      <c r="AM67" s="55"/>
      <c r="AN67" s="4"/>
      <c r="AO67" s="4"/>
      <c r="AP67" s="4"/>
      <c r="AQ67" s="4"/>
      <c r="AR67" s="4"/>
      <c r="AS67" s="4"/>
      <c r="AT67" s="12"/>
      <c r="AU67" s="12">
        <v>12</v>
      </c>
      <c r="AV67" s="12"/>
      <c r="AW67" s="12">
        <v>126</v>
      </c>
      <c r="AX67" s="12"/>
      <c r="AY67" s="12">
        <v>108</v>
      </c>
    </row>
    <row r="68" spans="1:51" hidden="1" x14ac:dyDescent="0.3">
      <c r="A68" s="4"/>
      <c r="B68" s="32">
        <v>2</v>
      </c>
      <c r="C68" s="32" t="s">
        <v>173</v>
      </c>
      <c r="D68" s="5" t="s">
        <v>441</v>
      </c>
      <c r="E68" s="33" t="s">
        <v>202</v>
      </c>
      <c r="F68" s="5" t="s">
        <v>203</v>
      </c>
      <c r="G68" s="33" t="s">
        <v>202</v>
      </c>
      <c r="H68" s="71">
        <v>371953.99979999999</v>
      </c>
      <c r="I68" s="71">
        <v>6823465.0001980001</v>
      </c>
      <c r="J68" s="4"/>
      <c r="K68" s="28" t="s">
        <v>68</v>
      </c>
      <c r="L68" s="34">
        <v>0</v>
      </c>
      <c r="M68" s="34">
        <v>0</v>
      </c>
      <c r="N68" s="34">
        <v>1</v>
      </c>
      <c r="O68" s="36">
        <v>1</v>
      </c>
      <c r="P68" s="5"/>
      <c r="Q68" s="5"/>
      <c r="R68" s="14" t="s">
        <v>9</v>
      </c>
      <c r="S68" s="4" t="s">
        <v>433</v>
      </c>
      <c r="T68" s="28" t="s">
        <v>431</v>
      </c>
      <c r="U68" s="28" t="s">
        <v>78</v>
      </c>
      <c r="V68" s="28">
        <v>2</v>
      </c>
      <c r="W68" s="12">
        <v>1</v>
      </c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>
        <v>1</v>
      </c>
      <c r="AK68" s="4">
        <v>1260</v>
      </c>
      <c r="AL68" s="4"/>
      <c r="AM68" s="4"/>
      <c r="AN68" s="4"/>
      <c r="AO68" s="4"/>
      <c r="AP68" s="4"/>
      <c r="AQ68" s="4"/>
      <c r="AR68" s="4"/>
      <c r="AS68" s="4"/>
      <c r="AT68" s="12"/>
      <c r="AU68" s="12">
        <v>12</v>
      </c>
      <c r="AV68" s="12"/>
      <c r="AW68" s="12">
        <v>126</v>
      </c>
      <c r="AX68" s="12"/>
      <c r="AY68" s="12">
        <v>108</v>
      </c>
    </row>
    <row r="69" spans="1:51" hidden="1" x14ac:dyDescent="0.3">
      <c r="A69" s="4"/>
      <c r="B69" s="32">
        <v>2</v>
      </c>
      <c r="C69" s="32" t="s">
        <v>173</v>
      </c>
      <c r="D69" s="5" t="s">
        <v>441</v>
      </c>
      <c r="E69" s="33" t="s">
        <v>204</v>
      </c>
      <c r="F69" s="5" t="s">
        <v>205</v>
      </c>
      <c r="G69" s="33" t="s">
        <v>204</v>
      </c>
      <c r="H69" s="71">
        <v>368575.00020000001</v>
      </c>
      <c r="I69" s="71">
        <v>6828287.9999980005</v>
      </c>
      <c r="J69" s="4"/>
      <c r="K69" s="28" t="s">
        <v>68</v>
      </c>
      <c r="L69" s="34">
        <v>0</v>
      </c>
      <c r="M69" s="34">
        <v>0</v>
      </c>
      <c r="N69" s="34">
        <v>1</v>
      </c>
      <c r="O69" s="36">
        <v>0</v>
      </c>
      <c r="P69" s="5"/>
      <c r="Q69" s="5"/>
      <c r="R69" s="14" t="s">
        <v>9</v>
      </c>
      <c r="S69" s="14" t="s">
        <v>434</v>
      </c>
      <c r="T69" s="28" t="s">
        <v>77</v>
      </c>
      <c r="U69" s="28" t="s">
        <v>79</v>
      </c>
      <c r="V69" s="28">
        <v>1</v>
      </c>
      <c r="W69" s="12">
        <v>1</v>
      </c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>
        <v>1</v>
      </c>
      <c r="AM69" s="4">
        <v>1200</v>
      </c>
      <c r="AN69" s="4"/>
      <c r="AO69" s="4"/>
      <c r="AP69" s="4"/>
      <c r="AQ69" s="4"/>
      <c r="AR69" s="4"/>
      <c r="AS69" s="4"/>
      <c r="AT69" s="12"/>
      <c r="AU69" s="12">
        <v>12</v>
      </c>
      <c r="AV69" s="12"/>
      <c r="AW69" s="12">
        <v>126</v>
      </c>
      <c r="AX69" s="12"/>
      <c r="AY69" s="12">
        <v>108</v>
      </c>
    </row>
    <row r="70" spans="1:51" x14ac:dyDescent="0.3">
      <c r="A70" s="4"/>
      <c r="B70" s="32">
        <v>2</v>
      </c>
      <c r="C70" s="32" t="s">
        <v>173</v>
      </c>
      <c r="D70" s="5" t="s">
        <v>441</v>
      </c>
      <c r="E70" s="33" t="s">
        <v>206</v>
      </c>
      <c r="F70" s="5" t="s">
        <v>207</v>
      </c>
      <c r="G70" s="33" t="s">
        <v>206</v>
      </c>
      <c r="H70" s="71">
        <v>367212</v>
      </c>
      <c r="I70" s="71">
        <v>6803917.9997979999</v>
      </c>
      <c r="J70" s="4"/>
      <c r="K70" s="28" t="s">
        <v>67</v>
      </c>
      <c r="L70" s="34">
        <v>0</v>
      </c>
      <c r="M70" s="34">
        <v>0</v>
      </c>
      <c r="N70" s="34">
        <v>1</v>
      </c>
      <c r="O70" s="36">
        <v>1</v>
      </c>
      <c r="P70" s="5"/>
      <c r="Q70" s="5"/>
      <c r="R70" s="14" t="s">
        <v>9</v>
      </c>
      <c r="S70" s="4" t="s">
        <v>434</v>
      </c>
      <c r="T70" s="28" t="s">
        <v>431</v>
      </c>
      <c r="U70" s="28" t="s">
        <v>78</v>
      </c>
      <c r="V70" s="28">
        <v>1</v>
      </c>
      <c r="W70" s="4"/>
      <c r="X70" s="12">
        <v>1</v>
      </c>
      <c r="Y70" s="4"/>
      <c r="Z70" s="4"/>
      <c r="AA70" s="4"/>
      <c r="AB70" s="4"/>
      <c r="AC70" s="4"/>
      <c r="AD70" s="4"/>
      <c r="AE70" s="4"/>
      <c r="AF70" s="4"/>
      <c r="AG70" s="4"/>
      <c r="AH70" s="12">
        <v>1</v>
      </c>
      <c r="AI70" s="12">
        <v>768</v>
      </c>
      <c r="AJ70" s="12"/>
      <c r="AK70" s="12"/>
      <c r="AL70" s="4"/>
      <c r="AM70" s="4"/>
      <c r="AN70" s="4"/>
      <c r="AO70" s="4"/>
      <c r="AP70" s="4"/>
      <c r="AQ70" s="4"/>
      <c r="AR70" s="4"/>
      <c r="AS70" s="4"/>
      <c r="AT70" s="12">
        <v>1</v>
      </c>
      <c r="AU70" s="12">
        <v>12</v>
      </c>
      <c r="AV70" s="12">
        <v>1</v>
      </c>
      <c r="AW70" s="12">
        <v>126</v>
      </c>
      <c r="AX70" s="12">
        <v>1</v>
      </c>
      <c r="AY70" s="12">
        <v>108</v>
      </c>
    </row>
    <row r="71" spans="1:51" x14ac:dyDescent="0.3">
      <c r="A71" s="4"/>
      <c r="B71" s="32">
        <v>2</v>
      </c>
      <c r="C71" s="32" t="s">
        <v>173</v>
      </c>
      <c r="D71" s="5" t="s">
        <v>441</v>
      </c>
      <c r="E71" s="33" t="s">
        <v>208</v>
      </c>
      <c r="F71" s="5" t="s">
        <v>209</v>
      </c>
      <c r="G71" s="33" t="s">
        <v>208</v>
      </c>
      <c r="H71" s="71">
        <v>336219.13566700002</v>
      </c>
      <c r="I71" s="71">
        <v>6773070.7670740001</v>
      </c>
      <c r="J71" s="4"/>
      <c r="K71" s="28" t="s">
        <v>67</v>
      </c>
      <c r="L71" s="34">
        <v>0</v>
      </c>
      <c r="M71" s="34">
        <v>0</v>
      </c>
      <c r="N71" s="34">
        <v>1</v>
      </c>
      <c r="O71" s="36">
        <v>1</v>
      </c>
      <c r="P71" s="5"/>
      <c r="Q71" s="5"/>
      <c r="R71" s="14" t="s">
        <v>9</v>
      </c>
      <c r="S71" s="4" t="s">
        <v>434</v>
      </c>
      <c r="T71" s="28" t="s">
        <v>431</v>
      </c>
      <c r="U71" s="28" t="s">
        <v>78</v>
      </c>
      <c r="V71" s="28">
        <v>2</v>
      </c>
      <c r="W71" s="4"/>
      <c r="X71" s="12">
        <v>1</v>
      </c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12">
        <v>1</v>
      </c>
      <c r="AK71" s="12">
        <v>1260</v>
      </c>
      <c r="AL71" s="4"/>
      <c r="AM71" s="4"/>
      <c r="AN71" s="4"/>
      <c r="AO71" s="4"/>
      <c r="AP71" s="4"/>
      <c r="AQ71" s="4"/>
      <c r="AR71" s="4"/>
      <c r="AS71" s="4"/>
      <c r="AT71" s="12">
        <v>1</v>
      </c>
      <c r="AU71" s="12">
        <v>12</v>
      </c>
      <c r="AV71" s="12">
        <v>1</v>
      </c>
      <c r="AW71" s="12">
        <v>126</v>
      </c>
      <c r="AX71" s="12">
        <v>1</v>
      </c>
      <c r="AY71" s="12">
        <v>108</v>
      </c>
    </row>
    <row r="72" spans="1:51" x14ac:dyDescent="0.3">
      <c r="A72" s="4"/>
      <c r="B72" s="32">
        <v>2</v>
      </c>
      <c r="C72" s="32" t="s">
        <v>173</v>
      </c>
      <c r="D72" s="5" t="s">
        <v>441</v>
      </c>
      <c r="E72" s="33" t="s">
        <v>210</v>
      </c>
      <c r="F72" s="5" t="s">
        <v>211</v>
      </c>
      <c r="G72" s="33" t="s">
        <v>210</v>
      </c>
      <c r="H72" s="71">
        <v>348346.99979999999</v>
      </c>
      <c r="I72" s="71">
        <v>6746135.9999980005</v>
      </c>
      <c r="J72" s="4"/>
      <c r="K72" s="28" t="s">
        <v>67</v>
      </c>
      <c r="L72" s="34">
        <v>0</v>
      </c>
      <c r="M72" s="34">
        <v>0</v>
      </c>
      <c r="N72" s="34">
        <v>1</v>
      </c>
      <c r="O72" s="36">
        <v>1</v>
      </c>
      <c r="P72" s="5"/>
      <c r="Q72" s="5"/>
      <c r="R72" s="14" t="s">
        <v>9</v>
      </c>
      <c r="S72" s="4" t="s">
        <v>434</v>
      </c>
      <c r="T72" s="28" t="s">
        <v>431</v>
      </c>
      <c r="U72" s="28" t="s">
        <v>78</v>
      </c>
      <c r="V72" s="28">
        <v>2</v>
      </c>
      <c r="W72" s="4"/>
      <c r="X72" s="12">
        <v>1</v>
      </c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12">
        <v>1</v>
      </c>
      <c r="AK72" s="12">
        <v>1260</v>
      </c>
      <c r="AL72" s="4"/>
      <c r="AM72" s="4"/>
      <c r="AN72" s="4"/>
      <c r="AO72" s="4"/>
      <c r="AP72" s="4"/>
      <c r="AQ72" s="4"/>
      <c r="AR72" s="4"/>
      <c r="AS72" s="4"/>
      <c r="AT72" s="12">
        <v>1</v>
      </c>
      <c r="AU72" s="12">
        <v>12</v>
      </c>
      <c r="AV72" s="12">
        <v>1</v>
      </c>
      <c r="AW72" s="12">
        <v>126</v>
      </c>
      <c r="AX72" s="12">
        <v>1</v>
      </c>
      <c r="AY72" s="12">
        <v>108</v>
      </c>
    </row>
    <row r="73" spans="1:51" x14ac:dyDescent="0.3">
      <c r="A73" s="4"/>
      <c r="B73" s="32">
        <v>2</v>
      </c>
      <c r="C73" s="32" t="s">
        <v>173</v>
      </c>
      <c r="D73" s="5" t="s">
        <v>441</v>
      </c>
      <c r="E73" s="33" t="s">
        <v>212</v>
      </c>
      <c r="F73" s="5" t="s">
        <v>213</v>
      </c>
      <c r="G73" s="33" t="s">
        <v>212</v>
      </c>
      <c r="H73" s="71">
        <v>338944.00020000001</v>
      </c>
      <c r="I73" s="71">
        <v>6785300.9999980005</v>
      </c>
      <c r="J73" s="4"/>
      <c r="K73" s="28" t="s">
        <v>67</v>
      </c>
      <c r="L73" s="34">
        <v>0</v>
      </c>
      <c r="M73" s="34">
        <v>0</v>
      </c>
      <c r="N73" s="34">
        <v>1</v>
      </c>
      <c r="O73" s="36">
        <v>1</v>
      </c>
      <c r="P73" s="5"/>
      <c r="Q73" s="5"/>
      <c r="R73" s="14" t="s">
        <v>9</v>
      </c>
      <c r="S73" s="12" t="s">
        <v>433</v>
      </c>
      <c r="T73" s="28" t="s">
        <v>77</v>
      </c>
      <c r="U73" s="28" t="s">
        <v>79</v>
      </c>
      <c r="V73" s="28">
        <v>1</v>
      </c>
      <c r="W73" s="4"/>
      <c r="X73" s="12">
        <v>1</v>
      </c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>
        <v>1</v>
      </c>
      <c r="AM73" s="4">
        <v>1200</v>
      </c>
      <c r="AN73" s="4"/>
      <c r="AO73" s="4"/>
      <c r="AP73" s="4"/>
      <c r="AQ73" s="4"/>
      <c r="AR73" s="4"/>
      <c r="AS73" s="4"/>
      <c r="AT73" s="12">
        <v>1</v>
      </c>
      <c r="AU73" s="12">
        <v>12</v>
      </c>
      <c r="AV73" s="12">
        <v>1</v>
      </c>
      <c r="AW73" s="12">
        <v>126</v>
      </c>
      <c r="AX73" s="12">
        <v>1</v>
      </c>
      <c r="AY73" s="12">
        <v>108</v>
      </c>
    </row>
    <row r="74" spans="1:51" hidden="1" x14ac:dyDescent="0.3">
      <c r="A74" s="4"/>
      <c r="B74" s="32">
        <v>2</v>
      </c>
      <c r="C74" s="32" t="s">
        <v>214</v>
      </c>
      <c r="D74" s="14" t="s">
        <v>444</v>
      </c>
      <c r="E74" s="33" t="s">
        <v>215</v>
      </c>
      <c r="F74" s="5" t="s">
        <v>216</v>
      </c>
      <c r="G74" s="33" t="s">
        <v>215</v>
      </c>
      <c r="H74" s="71">
        <v>286367.62806399999</v>
      </c>
      <c r="I74" s="71">
        <v>6772501.3506060001</v>
      </c>
      <c r="J74" s="4"/>
      <c r="K74" s="28" t="s">
        <v>428</v>
      </c>
      <c r="L74" s="34">
        <v>1</v>
      </c>
      <c r="M74" s="34">
        <v>1</v>
      </c>
      <c r="N74" s="34">
        <v>1</v>
      </c>
      <c r="O74" s="36">
        <v>1</v>
      </c>
      <c r="P74" s="5"/>
      <c r="Q74" s="5"/>
      <c r="R74" s="5" t="s">
        <v>8</v>
      </c>
      <c r="S74" s="4" t="s">
        <v>433</v>
      </c>
      <c r="T74" s="28" t="s">
        <v>431</v>
      </c>
      <c r="U74" s="28" t="s">
        <v>78</v>
      </c>
      <c r="V74" s="28">
        <v>2</v>
      </c>
      <c r="W74" s="12">
        <v>1</v>
      </c>
      <c r="X74" s="12">
        <v>1</v>
      </c>
      <c r="Y74" s="4"/>
      <c r="Z74" s="4">
        <v>1</v>
      </c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12"/>
      <c r="AW74" s="4"/>
      <c r="AX74" s="12"/>
      <c r="AY74" s="4"/>
    </row>
    <row r="75" spans="1:51" hidden="1" x14ac:dyDescent="0.3">
      <c r="A75" s="4"/>
      <c r="B75" s="32">
        <v>2</v>
      </c>
      <c r="C75" s="32" t="s">
        <v>214</v>
      </c>
      <c r="D75" s="5" t="s">
        <v>441</v>
      </c>
      <c r="E75" s="33" t="s">
        <v>217</v>
      </c>
      <c r="F75" s="5" t="s">
        <v>218</v>
      </c>
      <c r="G75" s="33" t="s">
        <v>217</v>
      </c>
      <c r="H75" s="71">
        <v>253848.43600300001</v>
      </c>
      <c r="I75" s="71">
        <v>6769429.0001980001</v>
      </c>
      <c r="J75" s="4"/>
      <c r="K75" s="28" t="s">
        <v>68</v>
      </c>
      <c r="L75" s="34">
        <v>0</v>
      </c>
      <c r="M75" s="34">
        <v>0</v>
      </c>
      <c r="N75" s="34">
        <v>1</v>
      </c>
      <c r="O75" s="36">
        <v>1</v>
      </c>
      <c r="P75" s="5"/>
      <c r="Q75" s="5"/>
      <c r="R75" s="14" t="s">
        <v>9</v>
      </c>
      <c r="S75" s="12" t="s">
        <v>433</v>
      </c>
      <c r="T75" s="28" t="s">
        <v>77</v>
      </c>
      <c r="U75" s="28" t="s">
        <v>78</v>
      </c>
      <c r="V75" s="28">
        <v>1</v>
      </c>
      <c r="W75" s="12">
        <v>1</v>
      </c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>
        <v>1</v>
      </c>
      <c r="AI75" s="4">
        <v>768</v>
      </c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12"/>
      <c r="AU75" s="12">
        <v>12</v>
      </c>
      <c r="AV75" s="12"/>
      <c r="AW75" s="12">
        <v>126</v>
      </c>
      <c r="AX75" s="12"/>
      <c r="AY75" s="12">
        <v>108</v>
      </c>
    </row>
    <row r="76" spans="1:51" hidden="1" x14ac:dyDescent="0.3">
      <c r="A76" s="4"/>
      <c r="B76" s="32">
        <v>2</v>
      </c>
      <c r="C76" s="32" t="s">
        <v>214</v>
      </c>
      <c r="D76" s="14" t="s">
        <v>444</v>
      </c>
      <c r="E76" s="33" t="s">
        <v>219</v>
      </c>
      <c r="F76" s="5" t="s">
        <v>220</v>
      </c>
      <c r="G76" s="33" t="s">
        <v>219</v>
      </c>
      <c r="H76" s="71">
        <v>217879.00020000001</v>
      </c>
      <c r="I76" s="71">
        <v>6787991.9999980005</v>
      </c>
      <c r="J76" s="4"/>
      <c r="K76" s="28" t="s">
        <v>428</v>
      </c>
      <c r="L76" s="34">
        <v>0</v>
      </c>
      <c r="M76" s="34">
        <v>1</v>
      </c>
      <c r="N76" s="34">
        <v>1</v>
      </c>
      <c r="O76" s="36">
        <v>1</v>
      </c>
      <c r="P76" s="5"/>
      <c r="Q76" s="5"/>
      <c r="R76" s="14" t="s">
        <v>8</v>
      </c>
      <c r="S76" s="12" t="s">
        <v>433</v>
      </c>
      <c r="T76" s="28" t="s">
        <v>77</v>
      </c>
      <c r="U76" s="28" t="s">
        <v>78</v>
      </c>
      <c r="V76" s="28">
        <v>1</v>
      </c>
      <c r="W76" s="12">
        <v>1</v>
      </c>
      <c r="X76" s="12">
        <v>1</v>
      </c>
      <c r="Y76" s="4"/>
      <c r="Z76" s="4">
        <v>1</v>
      </c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12"/>
      <c r="AW76" s="4"/>
      <c r="AX76" s="12"/>
      <c r="AY76" s="4"/>
    </row>
    <row r="77" spans="1:51" hidden="1" x14ac:dyDescent="0.3">
      <c r="A77" s="4"/>
      <c r="B77" s="32">
        <v>2</v>
      </c>
      <c r="C77" s="32" t="s">
        <v>214</v>
      </c>
      <c r="D77" s="14" t="s">
        <v>444</v>
      </c>
      <c r="E77" s="33" t="s">
        <v>221</v>
      </c>
      <c r="F77" s="5" t="s">
        <v>222</v>
      </c>
      <c r="G77" s="33" t="s">
        <v>221</v>
      </c>
      <c r="H77" s="71">
        <v>215995.63647500001</v>
      </c>
      <c r="I77" s="71">
        <v>6788448.19673</v>
      </c>
      <c r="J77" s="4"/>
      <c r="K77" s="28" t="s">
        <v>428</v>
      </c>
      <c r="L77" s="34">
        <v>1</v>
      </c>
      <c r="M77" s="34">
        <v>0</v>
      </c>
      <c r="N77" s="34">
        <v>1</v>
      </c>
      <c r="O77" s="36">
        <v>1</v>
      </c>
      <c r="P77" s="5"/>
      <c r="Q77" s="5"/>
      <c r="R77" s="5" t="s">
        <v>8</v>
      </c>
      <c r="S77" s="12" t="s">
        <v>433</v>
      </c>
      <c r="T77" s="28" t="s">
        <v>77</v>
      </c>
      <c r="U77" s="28" t="s">
        <v>78</v>
      </c>
      <c r="V77" s="28">
        <v>1</v>
      </c>
      <c r="W77" s="12">
        <v>1</v>
      </c>
      <c r="X77" s="12">
        <v>1</v>
      </c>
      <c r="Y77" s="4"/>
      <c r="Z77" s="4">
        <v>1</v>
      </c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12"/>
      <c r="AW77" s="4"/>
      <c r="AX77" s="12"/>
      <c r="AY77" s="4"/>
    </row>
    <row r="78" spans="1:51" hidden="1" x14ac:dyDescent="0.3">
      <c r="A78" s="4"/>
      <c r="B78" s="32">
        <v>2</v>
      </c>
      <c r="C78" s="32" t="s">
        <v>214</v>
      </c>
      <c r="D78" s="14" t="s">
        <v>444</v>
      </c>
      <c r="E78" s="33" t="s">
        <v>223</v>
      </c>
      <c r="F78" s="5" t="s">
        <v>224</v>
      </c>
      <c r="G78" s="33" t="s">
        <v>223</v>
      </c>
      <c r="H78" s="71">
        <v>243396.50644699999</v>
      </c>
      <c r="I78" s="71">
        <v>6785204.9094059998</v>
      </c>
      <c r="J78" s="4"/>
      <c r="K78" s="28" t="s">
        <v>428</v>
      </c>
      <c r="L78" s="34">
        <v>1</v>
      </c>
      <c r="M78" s="34">
        <v>1</v>
      </c>
      <c r="N78" s="34">
        <v>1</v>
      </c>
      <c r="O78" s="35">
        <v>0</v>
      </c>
      <c r="P78" s="5"/>
      <c r="Q78" s="5"/>
      <c r="R78" s="5" t="s">
        <v>8</v>
      </c>
      <c r="S78" s="4" t="s">
        <v>433</v>
      </c>
      <c r="T78" s="28" t="s">
        <v>431</v>
      </c>
      <c r="U78" s="28" t="s">
        <v>78</v>
      </c>
      <c r="V78" s="28">
        <v>2</v>
      </c>
      <c r="W78" s="12">
        <v>1</v>
      </c>
      <c r="X78" s="12">
        <v>1</v>
      </c>
      <c r="Y78" s="4"/>
      <c r="Z78" s="4">
        <v>1</v>
      </c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12"/>
      <c r="AW78" s="4"/>
      <c r="AX78" s="12"/>
      <c r="AY78" s="4"/>
    </row>
    <row r="79" spans="1:51" hidden="1" x14ac:dyDescent="0.3">
      <c r="A79" s="4"/>
      <c r="B79" s="32">
        <v>2</v>
      </c>
      <c r="C79" s="32" t="s">
        <v>214</v>
      </c>
      <c r="D79" s="5" t="s">
        <v>441</v>
      </c>
      <c r="E79" s="33" t="s">
        <v>225</v>
      </c>
      <c r="F79" s="5" t="s">
        <v>226</v>
      </c>
      <c r="G79" s="33" t="s">
        <v>225</v>
      </c>
      <c r="H79" s="71">
        <v>257887.00020000001</v>
      </c>
      <c r="I79" s="71">
        <v>6767177.9999980005</v>
      </c>
      <c r="J79" s="4"/>
      <c r="K79" s="28" t="s">
        <v>68</v>
      </c>
      <c r="L79" s="34">
        <v>0</v>
      </c>
      <c r="M79" s="34">
        <v>0</v>
      </c>
      <c r="N79" s="34">
        <v>1</v>
      </c>
      <c r="O79" s="35">
        <v>0</v>
      </c>
      <c r="P79" s="5"/>
      <c r="Q79" s="5"/>
      <c r="R79" s="14" t="s">
        <v>9</v>
      </c>
      <c r="S79" s="4" t="s">
        <v>433</v>
      </c>
      <c r="T79" s="28" t="s">
        <v>431</v>
      </c>
      <c r="U79" s="28" t="s">
        <v>78</v>
      </c>
      <c r="V79" s="28">
        <v>2</v>
      </c>
      <c r="W79" s="12">
        <v>1</v>
      </c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>
        <v>1</v>
      </c>
      <c r="AK79" s="4">
        <v>1260</v>
      </c>
      <c r="AL79" s="4"/>
      <c r="AM79" s="4"/>
      <c r="AN79" s="4"/>
      <c r="AO79" s="4"/>
      <c r="AP79" s="4"/>
      <c r="AQ79" s="4"/>
      <c r="AR79" s="4"/>
      <c r="AS79" s="4"/>
      <c r="AT79" s="12"/>
      <c r="AU79" s="12">
        <v>12</v>
      </c>
      <c r="AV79" s="12"/>
      <c r="AW79" s="12">
        <v>126</v>
      </c>
      <c r="AX79" s="12"/>
      <c r="AY79" s="12">
        <v>108</v>
      </c>
    </row>
    <row r="80" spans="1:51" hidden="1" x14ac:dyDescent="0.3">
      <c r="A80" s="4"/>
      <c r="B80" s="32">
        <v>2</v>
      </c>
      <c r="C80" s="32" t="s">
        <v>214</v>
      </c>
      <c r="D80" s="5" t="s">
        <v>441</v>
      </c>
      <c r="E80" s="33" t="s">
        <v>227</v>
      </c>
      <c r="F80" s="5" t="s">
        <v>228</v>
      </c>
      <c r="G80" s="33" t="s">
        <v>227</v>
      </c>
      <c r="H80" s="71">
        <v>300832.59717000002</v>
      </c>
      <c r="I80" s="71">
        <v>6754026.1939949999</v>
      </c>
      <c r="J80" s="4"/>
      <c r="K80" s="28" t="s">
        <v>68</v>
      </c>
      <c r="L80" s="34">
        <v>0</v>
      </c>
      <c r="M80" s="34">
        <v>0</v>
      </c>
      <c r="N80" s="34">
        <v>1</v>
      </c>
      <c r="O80" s="35">
        <v>0</v>
      </c>
      <c r="P80" s="5"/>
      <c r="Q80" s="5"/>
      <c r="R80" s="14" t="s">
        <v>9</v>
      </c>
      <c r="S80" s="12" t="s">
        <v>433</v>
      </c>
      <c r="T80" s="28" t="s">
        <v>77</v>
      </c>
      <c r="U80" s="54" t="s">
        <v>429</v>
      </c>
      <c r="V80" s="28">
        <v>1</v>
      </c>
      <c r="W80" s="12">
        <v>1</v>
      </c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>
        <v>1</v>
      </c>
      <c r="AO80" s="4">
        <v>1200</v>
      </c>
      <c r="AP80" s="4"/>
      <c r="AQ80" s="4"/>
      <c r="AR80" s="4"/>
      <c r="AS80" s="4"/>
      <c r="AT80" s="12"/>
      <c r="AU80" s="12">
        <v>12</v>
      </c>
      <c r="AV80" s="12"/>
      <c r="AW80" s="12">
        <v>126</v>
      </c>
      <c r="AX80" s="12"/>
      <c r="AY80" s="12">
        <v>108</v>
      </c>
    </row>
    <row r="81" spans="1:51" hidden="1" x14ac:dyDescent="0.3">
      <c r="A81" s="4"/>
      <c r="B81" s="32">
        <v>2</v>
      </c>
      <c r="C81" s="32" t="s">
        <v>214</v>
      </c>
      <c r="D81" s="5" t="s">
        <v>441</v>
      </c>
      <c r="E81" s="33" t="s">
        <v>229</v>
      </c>
      <c r="F81" s="5" t="s">
        <v>230</v>
      </c>
      <c r="G81" s="33" t="s">
        <v>229</v>
      </c>
      <c r="H81" s="71">
        <v>300997.00020000001</v>
      </c>
      <c r="I81" s="71">
        <v>6781966.9997979999</v>
      </c>
      <c r="J81" s="4"/>
      <c r="K81" s="28" t="s">
        <v>68</v>
      </c>
      <c r="L81" s="34">
        <v>0</v>
      </c>
      <c r="M81" s="34">
        <v>0</v>
      </c>
      <c r="N81" s="34">
        <v>1</v>
      </c>
      <c r="O81" s="36">
        <v>1</v>
      </c>
      <c r="P81" s="5"/>
      <c r="Q81" s="5"/>
      <c r="R81" s="14" t="s">
        <v>9</v>
      </c>
      <c r="S81" s="12" t="s">
        <v>433</v>
      </c>
      <c r="T81" s="28" t="s">
        <v>77</v>
      </c>
      <c r="U81" s="28" t="s">
        <v>78</v>
      </c>
      <c r="V81" s="28">
        <v>1</v>
      </c>
      <c r="W81" s="12">
        <v>1</v>
      </c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>
        <v>1</v>
      </c>
      <c r="AI81" s="4">
        <v>768</v>
      </c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12"/>
      <c r="AU81" s="12">
        <v>12</v>
      </c>
      <c r="AV81" s="12"/>
      <c r="AW81" s="12">
        <v>126</v>
      </c>
      <c r="AX81" s="12"/>
      <c r="AY81" s="12">
        <v>108</v>
      </c>
    </row>
    <row r="82" spans="1:51" hidden="1" x14ac:dyDescent="0.3">
      <c r="A82" s="4"/>
      <c r="B82" s="32">
        <v>2</v>
      </c>
      <c r="C82" s="32" t="s">
        <v>214</v>
      </c>
      <c r="D82" s="5" t="s">
        <v>441</v>
      </c>
      <c r="E82" s="33" t="s">
        <v>231</v>
      </c>
      <c r="F82" s="5" t="s">
        <v>232</v>
      </c>
      <c r="G82" s="33" t="s">
        <v>231</v>
      </c>
      <c r="H82" s="71">
        <v>282298.99979999999</v>
      </c>
      <c r="I82" s="71">
        <v>6736321.9997979999</v>
      </c>
      <c r="J82" s="4"/>
      <c r="K82" s="28" t="s">
        <v>68</v>
      </c>
      <c r="L82" s="34">
        <v>0</v>
      </c>
      <c r="M82" s="34">
        <v>0</v>
      </c>
      <c r="N82" s="34">
        <v>1</v>
      </c>
      <c r="O82" s="36">
        <v>1</v>
      </c>
      <c r="P82" s="5"/>
      <c r="Q82" s="5"/>
      <c r="R82" s="14" t="s">
        <v>9</v>
      </c>
      <c r="S82" s="4" t="s">
        <v>433</v>
      </c>
      <c r="T82" s="28" t="s">
        <v>431</v>
      </c>
      <c r="U82" s="28" t="s">
        <v>78</v>
      </c>
      <c r="V82" s="28">
        <v>1</v>
      </c>
      <c r="W82" s="12">
        <v>1</v>
      </c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>
        <v>1</v>
      </c>
      <c r="AI82" s="4">
        <v>768</v>
      </c>
      <c r="AJ82" s="4"/>
      <c r="AK82" s="4"/>
      <c r="AL82" s="4"/>
      <c r="AM82" s="55"/>
      <c r="AN82" s="4"/>
      <c r="AO82" s="4"/>
      <c r="AP82" s="4"/>
      <c r="AQ82" s="4"/>
      <c r="AR82" s="4"/>
      <c r="AS82" s="4"/>
      <c r="AT82" s="12"/>
      <c r="AU82" s="12">
        <v>12</v>
      </c>
      <c r="AV82" s="12"/>
      <c r="AW82" s="12">
        <v>126</v>
      </c>
      <c r="AX82" s="12"/>
      <c r="AY82" s="12">
        <v>108</v>
      </c>
    </row>
    <row r="83" spans="1:51" hidden="1" x14ac:dyDescent="0.3">
      <c r="A83" s="4"/>
      <c r="B83" s="32">
        <v>2</v>
      </c>
      <c r="C83" s="32" t="s">
        <v>214</v>
      </c>
      <c r="D83" s="5" t="s">
        <v>441</v>
      </c>
      <c r="E83" s="33" t="s">
        <v>233</v>
      </c>
      <c r="F83" s="5" t="s">
        <v>234</v>
      </c>
      <c r="G83" s="33" t="s">
        <v>233</v>
      </c>
      <c r="H83" s="71">
        <v>279454.99979999999</v>
      </c>
      <c r="I83" s="71">
        <v>6779899.0001980001</v>
      </c>
      <c r="J83" s="4"/>
      <c r="K83" s="28" t="s">
        <v>68</v>
      </c>
      <c r="L83" s="34">
        <v>0</v>
      </c>
      <c r="M83" s="34">
        <v>0</v>
      </c>
      <c r="N83" s="34">
        <v>1</v>
      </c>
      <c r="O83" s="36">
        <v>1</v>
      </c>
      <c r="P83" s="5"/>
      <c r="Q83" s="5"/>
      <c r="R83" s="14" t="s">
        <v>9</v>
      </c>
      <c r="S83" s="12" t="s">
        <v>433</v>
      </c>
      <c r="T83" s="28" t="s">
        <v>77</v>
      </c>
      <c r="U83" s="28" t="s">
        <v>79</v>
      </c>
      <c r="V83" s="28">
        <v>1</v>
      </c>
      <c r="W83" s="12">
        <v>1</v>
      </c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>
        <v>1</v>
      </c>
      <c r="AM83" s="4">
        <v>1200</v>
      </c>
      <c r="AN83" s="4"/>
      <c r="AO83" s="4"/>
      <c r="AP83" s="4"/>
      <c r="AQ83" s="4"/>
      <c r="AR83" s="4"/>
      <c r="AS83" s="4"/>
      <c r="AT83" s="12"/>
      <c r="AU83" s="12">
        <v>12</v>
      </c>
      <c r="AV83" s="12"/>
      <c r="AW83" s="12">
        <v>126</v>
      </c>
      <c r="AX83" s="12"/>
      <c r="AY83" s="12">
        <v>108</v>
      </c>
    </row>
    <row r="84" spans="1:51" hidden="1" x14ac:dyDescent="0.3">
      <c r="A84" s="4"/>
      <c r="B84" s="32">
        <v>2</v>
      </c>
      <c r="C84" s="32" t="s">
        <v>214</v>
      </c>
      <c r="D84" s="5" t="s">
        <v>441</v>
      </c>
      <c r="E84" s="33" t="s">
        <v>235</v>
      </c>
      <c r="F84" s="5" t="s">
        <v>236</v>
      </c>
      <c r="G84" s="33" t="s">
        <v>235</v>
      </c>
      <c r="H84" s="71">
        <v>236026.99979999999</v>
      </c>
      <c r="I84" s="71">
        <v>6766450.9997979999</v>
      </c>
      <c r="J84" s="4"/>
      <c r="K84" s="28" t="s">
        <v>68</v>
      </c>
      <c r="L84" s="34">
        <v>0</v>
      </c>
      <c r="M84" s="34">
        <v>0</v>
      </c>
      <c r="N84" s="34">
        <v>1</v>
      </c>
      <c r="O84" s="36">
        <v>0</v>
      </c>
      <c r="P84" s="5"/>
      <c r="Q84" s="5"/>
      <c r="R84" s="14" t="s">
        <v>9</v>
      </c>
      <c r="S84" s="12" t="s">
        <v>433</v>
      </c>
      <c r="T84" s="28" t="s">
        <v>77</v>
      </c>
      <c r="U84" s="28" t="s">
        <v>79</v>
      </c>
      <c r="V84" s="28">
        <v>1</v>
      </c>
      <c r="W84" s="12">
        <v>1</v>
      </c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>
        <v>1</v>
      </c>
      <c r="AM84" s="4">
        <v>1200</v>
      </c>
      <c r="AN84" s="4"/>
      <c r="AO84" s="4"/>
      <c r="AP84" s="4"/>
      <c r="AQ84" s="4"/>
      <c r="AR84" s="4"/>
      <c r="AS84" s="4"/>
      <c r="AT84" s="12"/>
      <c r="AU84" s="12">
        <v>12</v>
      </c>
      <c r="AV84" s="12"/>
      <c r="AW84" s="12">
        <v>126</v>
      </c>
      <c r="AX84" s="12"/>
      <c r="AY84" s="12">
        <v>108</v>
      </c>
    </row>
    <row r="85" spans="1:51" hidden="1" x14ac:dyDescent="0.3">
      <c r="A85" s="4"/>
      <c r="B85" s="32">
        <v>2</v>
      </c>
      <c r="C85" s="32" t="s">
        <v>214</v>
      </c>
      <c r="D85" s="5" t="s">
        <v>441</v>
      </c>
      <c r="E85" s="33" t="s">
        <v>237</v>
      </c>
      <c r="F85" s="5" t="s">
        <v>238</v>
      </c>
      <c r="G85" s="33" t="s">
        <v>237</v>
      </c>
      <c r="H85" s="71">
        <v>292747.00020000001</v>
      </c>
      <c r="I85" s="71">
        <v>6772670.9999980005</v>
      </c>
      <c r="J85" s="4"/>
      <c r="K85" s="28" t="s">
        <v>68</v>
      </c>
      <c r="L85" s="34">
        <v>0</v>
      </c>
      <c r="M85" s="34">
        <v>0</v>
      </c>
      <c r="N85" s="34">
        <v>1</v>
      </c>
      <c r="O85" s="36">
        <v>1</v>
      </c>
      <c r="P85" s="5"/>
      <c r="Q85" s="5"/>
      <c r="R85" s="14" t="s">
        <v>9</v>
      </c>
      <c r="S85" s="12" t="s">
        <v>433</v>
      </c>
      <c r="T85" s="28" t="s">
        <v>77</v>
      </c>
      <c r="U85" s="28" t="s">
        <v>78</v>
      </c>
      <c r="V85" s="28">
        <v>1</v>
      </c>
      <c r="W85" s="12">
        <v>1</v>
      </c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>
        <v>1</v>
      </c>
      <c r="AI85" s="4">
        <v>768</v>
      </c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12"/>
      <c r="AU85" s="12">
        <v>12</v>
      </c>
      <c r="AV85" s="12"/>
      <c r="AW85" s="12">
        <v>126</v>
      </c>
      <c r="AX85" s="12"/>
      <c r="AY85" s="12">
        <v>108</v>
      </c>
    </row>
    <row r="86" spans="1:51" x14ac:dyDescent="0.3">
      <c r="A86" s="4"/>
      <c r="B86" s="32">
        <v>2</v>
      </c>
      <c r="C86" s="32" t="s">
        <v>214</v>
      </c>
      <c r="D86" s="14" t="s">
        <v>449</v>
      </c>
      <c r="E86" s="33" t="s">
        <v>239</v>
      </c>
      <c r="F86" s="5" t="s">
        <v>240</v>
      </c>
      <c r="G86" s="33" t="s">
        <v>239</v>
      </c>
      <c r="H86" s="71">
        <v>313737</v>
      </c>
      <c r="I86" s="71">
        <v>6733408.0001980001</v>
      </c>
      <c r="J86" s="4"/>
      <c r="K86" s="36" t="s">
        <v>428</v>
      </c>
      <c r="L86" s="34">
        <v>0</v>
      </c>
      <c r="M86" s="34">
        <v>0</v>
      </c>
      <c r="N86" s="34">
        <v>1</v>
      </c>
      <c r="O86" s="36">
        <v>0</v>
      </c>
      <c r="P86" s="5"/>
      <c r="Q86" s="5"/>
      <c r="R86" s="14" t="s">
        <v>447</v>
      </c>
      <c r="S86" s="14" t="s">
        <v>434</v>
      </c>
      <c r="T86" s="28" t="s">
        <v>77</v>
      </c>
      <c r="U86" s="28" t="s">
        <v>79</v>
      </c>
      <c r="V86" s="28">
        <v>1</v>
      </c>
      <c r="W86" s="12">
        <v>1</v>
      </c>
      <c r="X86" s="12">
        <v>1</v>
      </c>
      <c r="Y86" s="4"/>
      <c r="Z86" s="4"/>
      <c r="AA86" s="4"/>
      <c r="AB86" s="4"/>
      <c r="AC86" s="4"/>
      <c r="AD86" s="4"/>
      <c r="AE86" s="4" t="s">
        <v>438</v>
      </c>
      <c r="AF86" s="4"/>
      <c r="AG86" s="4"/>
      <c r="AH86" s="4"/>
      <c r="AI86" s="4"/>
      <c r="AJ86" s="4"/>
      <c r="AK86" s="4"/>
      <c r="AL86" s="4">
        <v>1</v>
      </c>
      <c r="AM86" s="4">
        <v>1200</v>
      </c>
      <c r="AN86" s="4"/>
      <c r="AO86" s="4"/>
      <c r="AP86" s="4"/>
      <c r="AQ86" s="4"/>
      <c r="AR86" s="4"/>
      <c r="AS86" s="4"/>
      <c r="AT86" s="12">
        <v>1</v>
      </c>
      <c r="AU86" s="12">
        <v>12</v>
      </c>
      <c r="AV86" s="12">
        <v>1</v>
      </c>
      <c r="AW86" s="12">
        <v>126</v>
      </c>
      <c r="AX86" s="12">
        <v>1</v>
      </c>
      <c r="AY86" s="12">
        <v>108</v>
      </c>
    </row>
    <row r="87" spans="1:51" x14ac:dyDescent="0.3">
      <c r="A87" s="4"/>
      <c r="B87" s="32">
        <v>2</v>
      </c>
      <c r="C87" s="32" t="s">
        <v>214</v>
      </c>
      <c r="D87" s="5" t="s">
        <v>441</v>
      </c>
      <c r="E87" s="33" t="s">
        <v>241</v>
      </c>
      <c r="F87" s="5" t="s">
        <v>242</v>
      </c>
      <c r="G87" s="33" t="s">
        <v>241</v>
      </c>
      <c r="H87" s="71">
        <v>305655.782198</v>
      </c>
      <c r="I87" s="71">
        <v>6751546.0001980001</v>
      </c>
      <c r="J87" s="4"/>
      <c r="K87" s="28" t="s">
        <v>67</v>
      </c>
      <c r="L87" s="34">
        <v>0</v>
      </c>
      <c r="M87" s="34">
        <v>0</v>
      </c>
      <c r="N87" s="34">
        <v>1</v>
      </c>
      <c r="O87" s="36">
        <v>1</v>
      </c>
      <c r="P87" s="5"/>
      <c r="Q87" s="5"/>
      <c r="R87" s="14" t="s">
        <v>9</v>
      </c>
      <c r="S87" s="12" t="s">
        <v>433</v>
      </c>
      <c r="T87" s="28" t="s">
        <v>77</v>
      </c>
      <c r="U87" s="28" t="s">
        <v>79</v>
      </c>
      <c r="V87" s="28">
        <v>1</v>
      </c>
      <c r="W87" s="4"/>
      <c r="X87" s="12">
        <v>1</v>
      </c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>
        <v>1</v>
      </c>
      <c r="AM87" s="4">
        <v>1200</v>
      </c>
      <c r="AN87" s="4"/>
      <c r="AO87" s="4"/>
      <c r="AP87" s="4"/>
      <c r="AQ87" s="4"/>
      <c r="AR87" s="4"/>
      <c r="AS87" s="4"/>
      <c r="AT87" s="12">
        <v>1</v>
      </c>
      <c r="AU87" s="12">
        <v>12</v>
      </c>
      <c r="AV87" s="12">
        <v>1</v>
      </c>
      <c r="AW87" s="12">
        <v>126</v>
      </c>
      <c r="AX87" s="12">
        <v>1</v>
      </c>
      <c r="AY87" s="12">
        <v>108</v>
      </c>
    </row>
    <row r="88" spans="1:51" x14ac:dyDescent="0.3">
      <c r="A88" s="4"/>
      <c r="B88" s="32">
        <v>2</v>
      </c>
      <c r="C88" s="32" t="s">
        <v>214</v>
      </c>
      <c r="D88" s="5" t="s">
        <v>441</v>
      </c>
      <c r="E88" s="33" t="s">
        <v>243</v>
      </c>
      <c r="F88" s="5" t="s">
        <v>244</v>
      </c>
      <c r="G88" s="33" t="s">
        <v>243</v>
      </c>
      <c r="H88" s="71">
        <v>254449.00020000001</v>
      </c>
      <c r="I88" s="71">
        <v>6796649.9999980005</v>
      </c>
      <c r="J88" s="4"/>
      <c r="K88" s="28" t="s">
        <v>67</v>
      </c>
      <c r="L88" s="34">
        <v>0</v>
      </c>
      <c r="M88" s="34">
        <v>0</v>
      </c>
      <c r="N88" s="34">
        <v>1</v>
      </c>
      <c r="O88" s="36">
        <v>1</v>
      </c>
      <c r="P88" s="5"/>
      <c r="Q88" s="5"/>
      <c r="R88" s="14" t="s">
        <v>9</v>
      </c>
      <c r="S88" s="12" t="s">
        <v>433</v>
      </c>
      <c r="T88" s="28" t="s">
        <v>77</v>
      </c>
      <c r="U88" s="28" t="s">
        <v>79</v>
      </c>
      <c r="V88" s="28">
        <v>1</v>
      </c>
      <c r="W88" s="4"/>
      <c r="X88" s="12">
        <v>1</v>
      </c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>
        <v>1</v>
      </c>
      <c r="AM88" s="4">
        <v>1200</v>
      </c>
      <c r="AN88" s="4"/>
      <c r="AO88" s="4"/>
      <c r="AP88" s="4"/>
      <c r="AQ88" s="4"/>
      <c r="AR88" s="4"/>
      <c r="AS88" s="4"/>
      <c r="AT88" s="12">
        <v>1</v>
      </c>
      <c r="AU88" s="12">
        <v>12</v>
      </c>
      <c r="AV88" s="12">
        <v>1</v>
      </c>
      <c r="AW88" s="12">
        <v>126</v>
      </c>
      <c r="AX88" s="12">
        <v>1</v>
      </c>
      <c r="AY88" s="12">
        <v>108</v>
      </c>
    </row>
    <row r="89" spans="1:51" x14ac:dyDescent="0.3">
      <c r="A89" s="4"/>
      <c r="B89" s="32">
        <v>2</v>
      </c>
      <c r="C89" s="32" t="s">
        <v>214</v>
      </c>
      <c r="D89" s="5" t="s">
        <v>441</v>
      </c>
      <c r="E89" s="33" t="s">
        <v>245</v>
      </c>
      <c r="F89" s="5" t="s">
        <v>246</v>
      </c>
      <c r="G89" s="33" t="s">
        <v>245</v>
      </c>
      <c r="H89" s="71">
        <v>322522.00020000001</v>
      </c>
      <c r="I89" s="71">
        <v>6759793.0001980001</v>
      </c>
      <c r="J89" s="4"/>
      <c r="K89" s="28" t="s">
        <v>67</v>
      </c>
      <c r="L89" s="34">
        <v>0</v>
      </c>
      <c r="M89" s="34">
        <v>0</v>
      </c>
      <c r="N89" s="34">
        <v>1</v>
      </c>
      <c r="O89" s="36">
        <v>1</v>
      </c>
      <c r="P89" s="5"/>
      <c r="Q89" s="5"/>
      <c r="R89" s="14" t="s">
        <v>9</v>
      </c>
      <c r="S89" s="12" t="s">
        <v>433</v>
      </c>
      <c r="T89" s="28" t="s">
        <v>430</v>
      </c>
      <c r="U89" s="28" t="s">
        <v>78</v>
      </c>
      <c r="V89" s="28">
        <v>1</v>
      </c>
      <c r="W89" s="4"/>
      <c r="X89" s="12">
        <v>1</v>
      </c>
      <c r="Y89" s="4"/>
      <c r="Z89" s="4"/>
      <c r="AA89" s="4"/>
      <c r="AB89" s="4"/>
      <c r="AC89" s="4"/>
      <c r="AD89" s="4"/>
      <c r="AE89" s="4"/>
      <c r="AF89" s="4"/>
      <c r="AG89" s="4"/>
      <c r="AH89" s="4">
        <v>1</v>
      </c>
      <c r="AI89" s="4">
        <v>768</v>
      </c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12">
        <v>1</v>
      </c>
      <c r="AU89" s="12">
        <v>12</v>
      </c>
      <c r="AV89" s="12">
        <v>1</v>
      </c>
      <c r="AW89" s="12">
        <v>126</v>
      </c>
      <c r="AX89" s="12">
        <v>1</v>
      </c>
      <c r="AY89" s="12">
        <v>108</v>
      </c>
    </row>
    <row r="90" spans="1:51" x14ac:dyDescent="0.3">
      <c r="A90" s="4"/>
      <c r="B90" s="32">
        <v>2</v>
      </c>
      <c r="C90" s="32">
        <v>56</v>
      </c>
      <c r="D90" s="5" t="s">
        <v>441</v>
      </c>
      <c r="E90" s="33" t="s">
        <v>247</v>
      </c>
      <c r="F90" s="5" t="s">
        <v>248</v>
      </c>
      <c r="G90" s="33" t="s">
        <v>247</v>
      </c>
      <c r="H90" s="71">
        <v>221116.00020000001</v>
      </c>
      <c r="I90" s="71">
        <v>6775397.9999980005</v>
      </c>
      <c r="J90" s="4"/>
      <c r="K90" s="28" t="s">
        <v>67</v>
      </c>
      <c r="L90" s="34">
        <v>0</v>
      </c>
      <c r="M90" s="34">
        <v>0</v>
      </c>
      <c r="N90" s="34">
        <v>1</v>
      </c>
      <c r="O90" s="36">
        <v>0</v>
      </c>
      <c r="P90" s="5"/>
      <c r="Q90" s="5"/>
      <c r="R90" s="14" t="s">
        <v>9</v>
      </c>
      <c r="S90" s="12" t="s">
        <v>433</v>
      </c>
      <c r="T90" s="28" t="s">
        <v>430</v>
      </c>
      <c r="U90" s="28" t="s">
        <v>78</v>
      </c>
      <c r="V90" s="28">
        <v>1</v>
      </c>
      <c r="W90" s="4"/>
      <c r="X90" s="12">
        <v>1</v>
      </c>
      <c r="Y90" s="4"/>
      <c r="Z90" s="4"/>
      <c r="AA90" s="4"/>
      <c r="AB90" s="4"/>
      <c r="AC90" s="4"/>
      <c r="AD90" s="4"/>
      <c r="AE90" s="4"/>
      <c r="AF90" s="4"/>
      <c r="AG90" s="4"/>
      <c r="AH90" s="4">
        <v>1</v>
      </c>
      <c r="AI90" s="4">
        <v>768</v>
      </c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12">
        <v>1</v>
      </c>
      <c r="AU90" s="12">
        <v>12</v>
      </c>
      <c r="AV90" s="12">
        <v>1</v>
      </c>
      <c r="AW90" s="12">
        <v>126</v>
      </c>
      <c r="AX90" s="12">
        <v>1</v>
      </c>
      <c r="AY90" s="12">
        <v>108</v>
      </c>
    </row>
    <row r="91" spans="1:51" x14ac:dyDescent="0.3">
      <c r="A91" s="4"/>
      <c r="B91" s="32">
        <v>2</v>
      </c>
      <c r="C91" s="32" t="s">
        <v>214</v>
      </c>
      <c r="D91" s="5" t="s">
        <v>441</v>
      </c>
      <c r="E91" s="33" t="s">
        <v>249</v>
      </c>
      <c r="F91" s="5" t="s">
        <v>250</v>
      </c>
      <c r="G91" s="33" t="s">
        <v>249</v>
      </c>
      <c r="H91" s="71">
        <v>252520.99979999999</v>
      </c>
      <c r="I91" s="71">
        <v>6754240.9997979999</v>
      </c>
      <c r="J91" s="4"/>
      <c r="K91" s="28" t="s">
        <v>67</v>
      </c>
      <c r="L91" s="34">
        <v>0</v>
      </c>
      <c r="M91" s="34">
        <v>0</v>
      </c>
      <c r="N91" s="34">
        <v>1</v>
      </c>
      <c r="O91" s="36">
        <v>1</v>
      </c>
      <c r="P91" s="12">
        <v>1</v>
      </c>
      <c r="Q91" s="5" t="s">
        <v>435</v>
      </c>
      <c r="R91" s="14" t="s">
        <v>9</v>
      </c>
      <c r="S91" s="12" t="s">
        <v>433</v>
      </c>
      <c r="T91" s="28" t="s">
        <v>430</v>
      </c>
      <c r="U91" s="28" t="s">
        <v>78</v>
      </c>
      <c r="V91" s="28">
        <v>1</v>
      </c>
      <c r="W91" s="4"/>
      <c r="X91" s="12">
        <v>1</v>
      </c>
      <c r="Y91" s="4"/>
      <c r="Z91" s="4"/>
      <c r="AA91" s="4"/>
      <c r="AB91" s="4">
        <v>1</v>
      </c>
      <c r="AC91" s="4"/>
      <c r="AD91" s="77">
        <v>0</v>
      </c>
      <c r="AE91" s="4"/>
      <c r="AF91" s="4"/>
      <c r="AG91" s="4"/>
      <c r="AH91" s="4">
        <v>1</v>
      </c>
      <c r="AI91" s="4">
        <v>768</v>
      </c>
      <c r="AJ91" s="4"/>
      <c r="AK91" s="4"/>
      <c r="AL91" s="4"/>
      <c r="AM91" s="4"/>
      <c r="AN91" s="4"/>
      <c r="AO91" s="4"/>
      <c r="AP91" s="4"/>
      <c r="AQ91" s="4"/>
      <c r="AR91" s="4">
        <v>1</v>
      </c>
      <c r="AS91" s="4">
        <v>240</v>
      </c>
      <c r="AT91" s="12">
        <v>1</v>
      </c>
      <c r="AU91" s="12">
        <v>12</v>
      </c>
      <c r="AV91" s="12">
        <v>1</v>
      </c>
      <c r="AW91" s="12">
        <v>126</v>
      </c>
      <c r="AX91" s="12">
        <v>1</v>
      </c>
      <c r="AY91" s="12">
        <v>108</v>
      </c>
    </row>
    <row r="92" spans="1:51" x14ac:dyDescent="0.3">
      <c r="A92" s="4"/>
      <c r="B92" s="32">
        <v>2</v>
      </c>
      <c r="C92" s="32" t="s">
        <v>214</v>
      </c>
      <c r="D92" s="5" t="s">
        <v>441</v>
      </c>
      <c r="E92" s="33" t="s">
        <v>251</v>
      </c>
      <c r="F92" s="5" t="s">
        <v>252</v>
      </c>
      <c r="G92" s="33" t="s">
        <v>251</v>
      </c>
      <c r="H92" s="71">
        <v>237123.494244</v>
      </c>
      <c r="I92" s="71">
        <v>6758485.8381160004</v>
      </c>
      <c r="J92" s="4"/>
      <c r="K92" s="28" t="s">
        <v>67</v>
      </c>
      <c r="L92" s="34">
        <v>0</v>
      </c>
      <c r="M92" s="34">
        <v>0</v>
      </c>
      <c r="N92" s="34">
        <v>1</v>
      </c>
      <c r="O92" s="36">
        <v>0</v>
      </c>
      <c r="P92" s="5"/>
      <c r="Q92" s="5"/>
      <c r="R92" s="14" t="s">
        <v>9</v>
      </c>
      <c r="S92" s="12" t="s">
        <v>433</v>
      </c>
      <c r="T92" s="28" t="s">
        <v>430</v>
      </c>
      <c r="U92" s="28" t="s">
        <v>78</v>
      </c>
      <c r="V92" s="28">
        <v>1</v>
      </c>
      <c r="W92" s="4"/>
      <c r="X92" s="12">
        <v>1</v>
      </c>
      <c r="Y92" s="4"/>
      <c r="Z92" s="4"/>
      <c r="AA92" s="4"/>
      <c r="AB92" s="4"/>
      <c r="AC92" s="4"/>
      <c r="AD92" s="4"/>
      <c r="AE92" s="4"/>
      <c r="AF92" s="4"/>
      <c r="AG92" s="4"/>
      <c r="AH92" s="4">
        <v>1</v>
      </c>
      <c r="AI92" s="4">
        <v>768</v>
      </c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12">
        <v>1</v>
      </c>
      <c r="AU92" s="12">
        <v>12</v>
      </c>
      <c r="AV92" s="12">
        <v>1</v>
      </c>
      <c r="AW92" s="12">
        <v>126</v>
      </c>
      <c r="AX92" s="12">
        <v>1</v>
      </c>
      <c r="AY92" s="12">
        <v>108</v>
      </c>
    </row>
    <row r="93" spans="1:51" x14ac:dyDescent="0.3">
      <c r="A93" s="4"/>
      <c r="B93" s="32">
        <v>2</v>
      </c>
      <c r="C93" s="32" t="s">
        <v>214</v>
      </c>
      <c r="D93" s="5" t="s">
        <v>441</v>
      </c>
      <c r="E93" s="33" t="s">
        <v>253</v>
      </c>
      <c r="F93" s="5" t="s">
        <v>254</v>
      </c>
      <c r="G93" s="33" t="s">
        <v>253</v>
      </c>
      <c r="H93" s="71">
        <v>293342.176637</v>
      </c>
      <c r="I93" s="71">
        <v>6749171.2713050004</v>
      </c>
      <c r="J93" s="4"/>
      <c r="K93" s="28" t="s">
        <v>67</v>
      </c>
      <c r="L93" s="34">
        <v>0</v>
      </c>
      <c r="M93" s="34">
        <v>0</v>
      </c>
      <c r="N93" s="34">
        <v>1</v>
      </c>
      <c r="O93" s="36">
        <v>1</v>
      </c>
      <c r="P93" s="5"/>
      <c r="Q93" s="5"/>
      <c r="R93" s="14" t="s">
        <v>9</v>
      </c>
      <c r="S93" s="12" t="s">
        <v>433</v>
      </c>
      <c r="T93" s="28" t="s">
        <v>430</v>
      </c>
      <c r="U93" s="28" t="s">
        <v>78</v>
      </c>
      <c r="V93" s="28">
        <v>1</v>
      </c>
      <c r="W93" s="4"/>
      <c r="X93" s="12">
        <v>1</v>
      </c>
      <c r="Y93" s="4"/>
      <c r="Z93" s="4"/>
      <c r="AA93" s="4"/>
      <c r="AB93" s="4"/>
      <c r="AC93" s="4"/>
      <c r="AD93" s="4"/>
      <c r="AE93" s="4"/>
      <c r="AF93" s="4"/>
      <c r="AG93" s="4"/>
      <c r="AH93" s="4">
        <v>1</v>
      </c>
      <c r="AI93" s="4">
        <v>768</v>
      </c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12">
        <v>1</v>
      </c>
      <c r="AU93" s="12">
        <v>12</v>
      </c>
      <c r="AV93" s="12">
        <v>1</v>
      </c>
      <c r="AW93" s="12">
        <v>126</v>
      </c>
      <c r="AX93" s="12">
        <v>1</v>
      </c>
      <c r="AY93" s="12">
        <v>108</v>
      </c>
    </row>
    <row r="94" spans="1:51" hidden="1" x14ac:dyDescent="0.3">
      <c r="A94" s="4"/>
      <c r="B94" s="32">
        <v>2</v>
      </c>
      <c r="C94" s="33">
        <v>44</v>
      </c>
      <c r="D94" s="14" t="s">
        <v>448</v>
      </c>
      <c r="E94" s="33" t="s">
        <v>255</v>
      </c>
      <c r="F94" s="5" t="s">
        <v>256</v>
      </c>
      <c r="G94" s="33" t="s">
        <v>255</v>
      </c>
      <c r="H94" s="71">
        <v>337569.373983</v>
      </c>
      <c r="I94" s="71">
        <v>6736206.9307800001</v>
      </c>
      <c r="J94" s="4"/>
      <c r="K94" s="28" t="s">
        <v>68</v>
      </c>
      <c r="L94" s="38">
        <v>0</v>
      </c>
      <c r="M94" s="34">
        <v>0</v>
      </c>
      <c r="N94" s="34">
        <v>1</v>
      </c>
      <c r="O94" s="36">
        <v>0</v>
      </c>
      <c r="P94" s="5"/>
      <c r="Q94" s="5"/>
      <c r="R94" s="82" t="s">
        <v>450</v>
      </c>
      <c r="S94" s="14" t="s">
        <v>434</v>
      </c>
      <c r="T94" s="28" t="s">
        <v>77</v>
      </c>
      <c r="U94" s="28" t="s">
        <v>79</v>
      </c>
      <c r="V94" s="28">
        <v>1</v>
      </c>
      <c r="W94" s="12">
        <v>1</v>
      </c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>
        <v>1</v>
      </c>
      <c r="AM94" s="4">
        <v>1200</v>
      </c>
      <c r="AN94" s="4"/>
      <c r="AO94" s="4"/>
      <c r="AP94" s="4"/>
      <c r="AQ94" s="4"/>
      <c r="AR94" s="4"/>
      <c r="AS94" s="4"/>
      <c r="AT94" s="12"/>
      <c r="AU94" s="12">
        <v>12</v>
      </c>
      <c r="AV94" s="12"/>
      <c r="AW94" s="12">
        <v>126</v>
      </c>
      <c r="AX94" s="12"/>
      <c r="AY94" s="12">
        <v>108</v>
      </c>
    </row>
    <row r="95" spans="1:51" hidden="1" x14ac:dyDescent="0.3">
      <c r="A95" s="4"/>
      <c r="B95" s="32">
        <v>2</v>
      </c>
      <c r="C95" s="33">
        <v>44</v>
      </c>
      <c r="D95" s="77" t="s">
        <v>448</v>
      </c>
      <c r="E95" s="33" t="s">
        <v>257</v>
      </c>
      <c r="F95" s="5" t="s">
        <v>258</v>
      </c>
      <c r="G95" s="33" t="s">
        <v>257</v>
      </c>
      <c r="H95" s="71">
        <v>352349.49058799999</v>
      </c>
      <c r="I95" s="71">
        <v>6700813.215628</v>
      </c>
      <c r="J95" s="4"/>
      <c r="K95" s="28" t="s">
        <v>428</v>
      </c>
      <c r="L95" s="38">
        <v>1</v>
      </c>
      <c r="M95" s="34">
        <v>0</v>
      </c>
      <c r="N95" s="34">
        <v>1</v>
      </c>
      <c r="O95" s="36">
        <v>0</v>
      </c>
      <c r="P95" s="12">
        <v>0</v>
      </c>
      <c r="Q95" s="5" t="s">
        <v>436</v>
      </c>
      <c r="R95" s="76" t="s">
        <v>450</v>
      </c>
      <c r="S95" s="4" t="s">
        <v>434</v>
      </c>
      <c r="T95" s="28" t="s">
        <v>431</v>
      </c>
      <c r="U95" s="28" t="s">
        <v>78</v>
      </c>
      <c r="V95" s="28">
        <v>2</v>
      </c>
      <c r="W95" s="12">
        <v>1</v>
      </c>
      <c r="X95" s="12">
        <v>1</v>
      </c>
      <c r="Y95" s="4"/>
      <c r="Z95" s="4">
        <v>1</v>
      </c>
      <c r="AA95" s="4">
        <v>1</v>
      </c>
      <c r="AB95" s="4">
        <v>1</v>
      </c>
      <c r="AC95" s="80">
        <v>1</v>
      </c>
      <c r="AD95" s="4">
        <v>0</v>
      </c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12"/>
      <c r="AW95" s="4"/>
      <c r="AX95" s="12"/>
      <c r="AY95" s="4"/>
    </row>
    <row r="96" spans="1:51" hidden="1" x14ac:dyDescent="0.3">
      <c r="A96" s="4"/>
      <c r="B96" s="32">
        <v>2</v>
      </c>
      <c r="C96" s="33">
        <v>44</v>
      </c>
      <c r="D96" s="5" t="s">
        <v>441</v>
      </c>
      <c r="E96" s="33" t="s">
        <v>259</v>
      </c>
      <c r="F96" s="5" t="s">
        <v>260</v>
      </c>
      <c r="G96" s="33" t="s">
        <v>259</v>
      </c>
      <c r="H96" s="71">
        <v>378995.51483900001</v>
      </c>
      <c r="I96" s="71">
        <v>6674844.8221749999</v>
      </c>
      <c r="J96" s="4"/>
      <c r="K96" s="28" t="s">
        <v>68</v>
      </c>
      <c r="L96" s="38">
        <v>0</v>
      </c>
      <c r="M96" s="34">
        <v>0</v>
      </c>
      <c r="N96" s="34">
        <v>1</v>
      </c>
      <c r="O96" s="39">
        <v>1</v>
      </c>
      <c r="P96" s="5"/>
      <c r="Q96" s="5"/>
      <c r="R96" s="14" t="s">
        <v>9</v>
      </c>
      <c r="S96" s="14" t="s">
        <v>434</v>
      </c>
      <c r="T96" s="28" t="s">
        <v>77</v>
      </c>
      <c r="U96" s="28" t="s">
        <v>78</v>
      </c>
      <c r="V96" s="28">
        <v>1</v>
      </c>
      <c r="W96" s="12">
        <v>1</v>
      </c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>
        <v>1</v>
      </c>
      <c r="AI96" s="4">
        <v>768</v>
      </c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12"/>
      <c r="AU96" s="12">
        <v>12</v>
      </c>
      <c r="AV96" s="12"/>
      <c r="AW96" s="12">
        <v>126</v>
      </c>
      <c r="AX96" s="12"/>
      <c r="AY96" s="12">
        <v>108</v>
      </c>
    </row>
    <row r="97" spans="1:51" hidden="1" x14ac:dyDescent="0.3">
      <c r="A97" s="4"/>
      <c r="B97" s="32">
        <v>2</v>
      </c>
      <c r="C97" s="33">
        <v>44</v>
      </c>
      <c r="D97" s="77" t="s">
        <v>448</v>
      </c>
      <c r="E97" s="33" t="s">
        <v>261</v>
      </c>
      <c r="F97" s="5">
        <v>4146418</v>
      </c>
      <c r="G97" s="33" t="s">
        <v>261</v>
      </c>
      <c r="H97" s="71">
        <v>379116.38880199997</v>
      </c>
      <c r="I97" s="71">
        <v>6724508.4564720001</v>
      </c>
      <c r="J97" s="4"/>
      <c r="K97" s="36" t="s">
        <v>67</v>
      </c>
      <c r="L97" s="38">
        <v>0</v>
      </c>
      <c r="M97" s="34">
        <v>0</v>
      </c>
      <c r="N97" s="34">
        <v>1</v>
      </c>
      <c r="O97" s="39">
        <v>0</v>
      </c>
      <c r="P97" s="5"/>
      <c r="Q97" s="5"/>
      <c r="R97" s="76" t="s">
        <v>450</v>
      </c>
      <c r="S97" s="4" t="s">
        <v>434</v>
      </c>
      <c r="T97" s="28" t="s">
        <v>431</v>
      </c>
      <c r="U97" s="28" t="s">
        <v>78</v>
      </c>
      <c r="V97" s="28">
        <v>1</v>
      </c>
      <c r="W97" s="4"/>
      <c r="X97" s="12">
        <v>1</v>
      </c>
      <c r="Y97" s="4"/>
      <c r="Z97" s="4"/>
      <c r="AA97" s="4"/>
      <c r="AB97" s="4"/>
      <c r="AC97" s="4"/>
      <c r="AD97" s="4"/>
      <c r="AE97" s="4"/>
      <c r="AF97" s="4"/>
      <c r="AG97" s="4"/>
      <c r="AH97" s="4">
        <v>1</v>
      </c>
      <c r="AI97" s="4">
        <v>768</v>
      </c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12">
        <v>1</v>
      </c>
      <c r="AU97" s="12">
        <v>12</v>
      </c>
      <c r="AV97" s="12">
        <v>1</v>
      </c>
      <c r="AW97" s="12">
        <v>126</v>
      </c>
      <c r="AX97" s="12">
        <v>1</v>
      </c>
      <c r="AY97" s="12">
        <v>108</v>
      </c>
    </row>
    <row r="98" spans="1:51" hidden="1" x14ac:dyDescent="0.3">
      <c r="A98" s="4"/>
      <c r="B98" s="32">
        <v>2</v>
      </c>
      <c r="C98" s="33">
        <v>44</v>
      </c>
      <c r="D98" s="5" t="s">
        <v>441</v>
      </c>
      <c r="E98" s="33" t="s">
        <v>262</v>
      </c>
      <c r="F98" s="5" t="s">
        <v>263</v>
      </c>
      <c r="G98" s="33" t="s">
        <v>262</v>
      </c>
      <c r="H98" s="71">
        <v>320923.00020000001</v>
      </c>
      <c r="I98" s="71">
        <v>6731056.0001980001</v>
      </c>
      <c r="J98" s="4"/>
      <c r="K98" s="28" t="s">
        <v>68</v>
      </c>
      <c r="L98" s="38">
        <v>0</v>
      </c>
      <c r="M98" s="34">
        <v>0</v>
      </c>
      <c r="N98" s="34">
        <v>1</v>
      </c>
      <c r="O98" s="39">
        <v>1</v>
      </c>
      <c r="P98" s="5"/>
      <c r="Q98" s="5"/>
      <c r="R98" s="14" t="s">
        <v>9</v>
      </c>
      <c r="S98" s="14" t="s">
        <v>434</v>
      </c>
      <c r="T98" s="28" t="s">
        <v>77</v>
      </c>
      <c r="U98" s="28" t="s">
        <v>79</v>
      </c>
      <c r="V98" s="28">
        <v>1</v>
      </c>
      <c r="W98" s="12">
        <v>1</v>
      </c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>
        <v>1</v>
      </c>
      <c r="AM98" s="4">
        <v>1200</v>
      </c>
      <c r="AN98" s="4"/>
      <c r="AO98" s="4"/>
      <c r="AP98" s="4"/>
      <c r="AQ98" s="4"/>
      <c r="AR98" s="4"/>
      <c r="AS98" s="4"/>
      <c r="AT98" s="12"/>
      <c r="AU98" s="12">
        <v>12</v>
      </c>
      <c r="AV98" s="12"/>
      <c r="AW98" s="12">
        <v>126</v>
      </c>
      <c r="AX98" s="12"/>
      <c r="AY98" s="12">
        <v>108</v>
      </c>
    </row>
    <row r="99" spans="1:51" hidden="1" x14ac:dyDescent="0.3">
      <c r="A99" s="4"/>
      <c r="B99" s="32">
        <v>2</v>
      </c>
      <c r="C99" s="33">
        <v>44</v>
      </c>
      <c r="D99" s="5" t="s">
        <v>441</v>
      </c>
      <c r="E99" s="33" t="s">
        <v>264</v>
      </c>
      <c r="F99" s="5" t="s">
        <v>265</v>
      </c>
      <c r="G99" s="33" t="s">
        <v>264</v>
      </c>
      <c r="H99" s="71">
        <v>369417.012973</v>
      </c>
      <c r="I99" s="71">
        <v>6744484.7062269999</v>
      </c>
      <c r="J99" s="4"/>
      <c r="K99" s="28" t="s">
        <v>68</v>
      </c>
      <c r="L99" s="38">
        <v>0</v>
      </c>
      <c r="M99" s="34">
        <v>0</v>
      </c>
      <c r="N99" s="34">
        <v>1</v>
      </c>
      <c r="O99" s="39">
        <v>0</v>
      </c>
      <c r="P99" s="5"/>
      <c r="Q99" s="5"/>
      <c r="R99" s="14" t="s">
        <v>9</v>
      </c>
      <c r="S99" s="4" t="s">
        <v>434</v>
      </c>
      <c r="T99" s="28" t="s">
        <v>431</v>
      </c>
      <c r="U99" s="28" t="s">
        <v>78</v>
      </c>
      <c r="V99" s="28">
        <v>2</v>
      </c>
      <c r="W99" s="12">
        <v>1</v>
      </c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>
        <v>1</v>
      </c>
      <c r="AK99" s="4">
        <v>1260</v>
      </c>
      <c r="AL99" s="4"/>
      <c r="AM99" s="4"/>
      <c r="AN99" s="4"/>
      <c r="AO99" s="4"/>
      <c r="AP99" s="4"/>
      <c r="AQ99" s="4"/>
      <c r="AR99" s="4"/>
      <c r="AS99" s="4"/>
      <c r="AT99" s="12"/>
      <c r="AU99" s="12">
        <v>12</v>
      </c>
      <c r="AV99" s="12"/>
      <c r="AW99" s="12">
        <v>126</v>
      </c>
      <c r="AX99" s="12"/>
      <c r="AY99" s="12">
        <v>108</v>
      </c>
    </row>
    <row r="100" spans="1:51" hidden="1" x14ac:dyDescent="0.3">
      <c r="A100" s="4"/>
      <c r="B100" s="32">
        <v>2</v>
      </c>
      <c r="C100" s="33">
        <v>44</v>
      </c>
      <c r="D100" s="14" t="s">
        <v>448</v>
      </c>
      <c r="E100" s="33" t="s">
        <v>266</v>
      </c>
      <c r="F100" s="5" t="s">
        <v>267</v>
      </c>
      <c r="G100" s="33" t="s">
        <v>266</v>
      </c>
      <c r="H100" s="71">
        <v>338271.23161800002</v>
      </c>
      <c r="I100" s="71">
        <v>6661744.4411570001</v>
      </c>
      <c r="J100" s="4"/>
      <c r="K100" s="28" t="s">
        <v>68</v>
      </c>
      <c r="L100" s="38">
        <v>0</v>
      </c>
      <c r="M100" s="34">
        <v>0</v>
      </c>
      <c r="N100" s="34">
        <v>1</v>
      </c>
      <c r="O100" s="39">
        <v>1</v>
      </c>
      <c r="P100" s="12">
        <v>1</v>
      </c>
      <c r="Q100" s="5" t="s">
        <v>436</v>
      </c>
      <c r="R100" s="82" t="s">
        <v>450</v>
      </c>
      <c r="S100" s="4" t="s">
        <v>434</v>
      </c>
      <c r="T100" s="28" t="s">
        <v>431</v>
      </c>
      <c r="U100" s="28" t="s">
        <v>78</v>
      </c>
      <c r="V100" s="28">
        <v>2</v>
      </c>
      <c r="W100" s="12">
        <v>1</v>
      </c>
      <c r="X100" s="4"/>
      <c r="Y100" s="4"/>
      <c r="Z100" s="4"/>
      <c r="AA100" s="4">
        <v>1</v>
      </c>
      <c r="AB100" s="4"/>
      <c r="AC100" s="80">
        <v>0</v>
      </c>
      <c r="AD100" s="4"/>
      <c r="AE100" s="4"/>
      <c r="AF100" s="4"/>
      <c r="AG100" s="4"/>
      <c r="AH100" s="4"/>
      <c r="AI100" s="4"/>
      <c r="AJ100" s="4">
        <v>1</v>
      </c>
      <c r="AK100" s="4">
        <v>1260</v>
      </c>
      <c r="AL100" s="4"/>
      <c r="AM100" s="4"/>
      <c r="AN100" s="4"/>
      <c r="AO100" s="4"/>
      <c r="AP100" s="4"/>
      <c r="AQ100" s="4"/>
      <c r="AR100" s="4">
        <v>1</v>
      </c>
      <c r="AS100" s="4">
        <v>240</v>
      </c>
      <c r="AT100" s="12"/>
      <c r="AU100" s="12">
        <v>12</v>
      </c>
      <c r="AV100" s="12"/>
      <c r="AW100" s="12">
        <v>126</v>
      </c>
      <c r="AX100" s="12"/>
      <c r="AY100" s="12">
        <v>108</v>
      </c>
    </row>
    <row r="101" spans="1:51" hidden="1" x14ac:dyDescent="0.3">
      <c r="A101" s="4"/>
      <c r="B101" s="32">
        <v>2</v>
      </c>
      <c r="C101" s="33">
        <v>44</v>
      </c>
      <c r="D101" s="14" t="s">
        <v>448</v>
      </c>
      <c r="E101" s="33" t="s">
        <v>268</v>
      </c>
      <c r="F101" s="5" t="s">
        <v>269</v>
      </c>
      <c r="G101" s="33" t="s">
        <v>268</v>
      </c>
      <c r="H101" s="71">
        <v>363679.30712200003</v>
      </c>
      <c r="I101" s="71">
        <v>6719444.0821740003</v>
      </c>
      <c r="J101" s="4"/>
      <c r="K101" s="36" t="s">
        <v>68</v>
      </c>
      <c r="L101" s="38">
        <v>0</v>
      </c>
      <c r="M101" s="34">
        <v>0</v>
      </c>
      <c r="N101" s="34">
        <v>1</v>
      </c>
      <c r="O101" s="39">
        <v>1</v>
      </c>
      <c r="P101" s="5"/>
      <c r="Q101" s="5"/>
      <c r="R101" s="82" t="s">
        <v>450</v>
      </c>
      <c r="S101" s="14" t="s">
        <v>434</v>
      </c>
      <c r="T101" s="28" t="s">
        <v>432</v>
      </c>
      <c r="U101" s="28" t="s">
        <v>78</v>
      </c>
      <c r="V101" s="28">
        <v>1</v>
      </c>
      <c r="W101" s="12">
        <v>1</v>
      </c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>
        <v>1</v>
      </c>
      <c r="AI101" s="4">
        <v>768</v>
      </c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12">
        <v>1</v>
      </c>
      <c r="AU101" s="12">
        <v>12</v>
      </c>
      <c r="AV101" s="12">
        <v>1</v>
      </c>
      <c r="AW101" s="12">
        <v>126</v>
      </c>
      <c r="AX101" s="12">
        <v>1</v>
      </c>
      <c r="AY101" s="12">
        <v>108</v>
      </c>
    </row>
    <row r="102" spans="1:51" hidden="1" x14ac:dyDescent="0.3">
      <c r="A102" s="4"/>
      <c r="B102" s="32">
        <v>2</v>
      </c>
      <c r="C102" s="33">
        <v>44</v>
      </c>
      <c r="D102" s="77" t="s">
        <v>448</v>
      </c>
      <c r="E102" s="33" t="s">
        <v>270</v>
      </c>
      <c r="F102" s="5" t="s">
        <v>271</v>
      </c>
      <c r="G102" s="33" t="s">
        <v>270</v>
      </c>
      <c r="H102" s="71">
        <v>343095.07467</v>
      </c>
      <c r="I102" s="71">
        <v>6744327.801674</v>
      </c>
      <c r="J102" s="4"/>
      <c r="K102" s="36" t="s">
        <v>67</v>
      </c>
      <c r="L102" s="38">
        <v>0</v>
      </c>
      <c r="M102" s="34">
        <v>0</v>
      </c>
      <c r="N102" s="34">
        <v>1</v>
      </c>
      <c r="O102" s="39">
        <v>1</v>
      </c>
      <c r="P102" s="5"/>
      <c r="Q102" s="5"/>
      <c r="R102" s="76" t="s">
        <v>450</v>
      </c>
      <c r="S102" s="14" t="s">
        <v>434</v>
      </c>
      <c r="T102" s="28" t="s">
        <v>77</v>
      </c>
      <c r="U102" s="28" t="s">
        <v>78</v>
      </c>
      <c r="V102" s="28">
        <v>1</v>
      </c>
      <c r="W102" s="4"/>
      <c r="X102" s="12">
        <v>1</v>
      </c>
      <c r="Y102" s="4"/>
      <c r="Z102" s="4">
        <v>1</v>
      </c>
      <c r="AA102" s="4"/>
      <c r="AB102" s="4"/>
      <c r="AC102" s="4"/>
      <c r="AD102" s="4"/>
      <c r="AE102" s="4"/>
      <c r="AF102" s="4"/>
      <c r="AG102" s="4"/>
      <c r="AH102" s="4">
        <v>1</v>
      </c>
      <c r="AI102" s="4">
        <v>768</v>
      </c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12">
        <v>1</v>
      </c>
      <c r="AU102" s="12">
        <v>12</v>
      </c>
      <c r="AV102" s="12">
        <v>1</v>
      </c>
      <c r="AW102" s="12">
        <v>126</v>
      </c>
      <c r="AX102" s="12">
        <v>1</v>
      </c>
      <c r="AY102" s="12">
        <v>108</v>
      </c>
    </row>
    <row r="103" spans="1:51" x14ac:dyDescent="0.3">
      <c r="A103" s="4"/>
      <c r="B103" s="32">
        <v>2</v>
      </c>
      <c r="C103" s="33">
        <v>44</v>
      </c>
      <c r="D103" s="5" t="s">
        <v>441</v>
      </c>
      <c r="E103" s="33" t="s">
        <v>272</v>
      </c>
      <c r="F103" s="5" t="s">
        <v>273</v>
      </c>
      <c r="G103" s="33" t="s">
        <v>272</v>
      </c>
      <c r="H103" s="71">
        <v>374268.60978</v>
      </c>
      <c r="I103" s="71">
        <v>6679261.1713819997</v>
      </c>
      <c r="J103" s="4"/>
      <c r="K103" s="28" t="s">
        <v>67</v>
      </c>
      <c r="L103" s="38">
        <v>0</v>
      </c>
      <c r="M103" s="34">
        <v>0</v>
      </c>
      <c r="N103" s="34">
        <v>1</v>
      </c>
      <c r="O103" s="39">
        <v>1</v>
      </c>
      <c r="P103" s="56">
        <v>1</v>
      </c>
      <c r="Q103" s="5" t="s">
        <v>436</v>
      </c>
      <c r="R103" s="14" t="s">
        <v>9</v>
      </c>
      <c r="S103" s="4" t="s">
        <v>434</v>
      </c>
      <c r="T103" s="28" t="s">
        <v>431</v>
      </c>
      <c r="U103" s="28" t="s">
        <v>78</v>
      </c>
      <c r="V103" s="28">
        <v>2</v>
      </c>
      <c r="W103" s="4"/>
      <c r="X103" s="12">
        <v>1</v>
      </c>
      <c r="Y103" s="4"/>
      <c r="Z103" s="4"/>
      <c r="AA103" s="4"/>
      <c r="AB103" s="4">
        <v>1</v>
      </c>
      <c r="AC103" s="4"/>
      <c r="AD103" s="4">
        <v>1</v>
      </c>
      <c r="AE103" s="4"/>
      <c r="AF103" s="4"/>
      <c r="AG103" s="4"/>
      <c r="AH103" s="4"/>
      <c r="AI103" s="4"/>
      <c r="AJ103" s="12">
        <v>1</v>
      </c>
      <c r="AK103" s="12">
        <v>1260</v>
      </c>
      <c r="AL103" s="4"/>
      <c r="AM103" s="4"/>
      <c r="AN103" s="4"/>
      <c r="AO103" s="4"/>
      <c r="AP103" s="4"/>
      <c r="AQ103" s="4"/>
      <c r="AR103" s="4">
        <v>1</v>
      </c>
      <c r="AS103" s="4">
        <v>240</v>
      </c>
      <c r="AT103" s="12">
        <v>1</v>
      </c>
      <c r="AU103" s="12">
        <v>12</v>
      </c>
      <c r="AV103" s="12">
        <v>1</v>
      </c>
      <c r="AW103" s="12">
        <v>126</v>
      </c>
      <c r="AX103" s="12">
        <v>1</v>
      </c>
      <c r="AY103" s="12">
        <v>108</v>
      </c>
    </row>
    <row r="104" spans="1:51" x14ac:dyDescent="0.3">
      <c r="A104" s="4"/>
      <c r="B104" s="32">
        <v>2</v>
      </c>
      <c r="C104" s="33">
        <v>44</v>
      </c>
      <c r="D104" s="5" t="s">
        <v>441</v>
      </c>
      <c r="E104" s="33" t="s">
        <v>274</v>
      </c>
      <c r="F104" s="5" t="s">
        <v>275</v>
      </c>
      <c r="G104" s="33" t="s">
        <v>274</v>
      </c>
      <c r="H104" s="71">
        <v>365545.96493900003</v>
      </c>
      <c r="I104" s="71">
        <v>6677141.2156109996</v>
      </c>
      <c r="J104" s="4"/>
      <c r="K104" s="28" t="s">
        <v>67</v>
      </c>
      <c r="L104" s="38">
        <v>0</v>
      </c>
      <c r="M104" s="34">
        <v>0</v>
      </c>
      <c r="N104" s="34">
        <v>1</v>
      </c>
      <c r="O104" s="39">
        <v>1</v>
      </c>
      <c r="P104" s="5"/>
      <c r="Q104" s="5"/>
      <c r="R104" s="14" t="s">
        <v>9</v>
      </c>
      <c r="S104" s="14" t="s">
        <v>433</v>
      </c>
      <c r="T104" s="28" t="s">
        <v>77</v>
      </c>
      <c r="U104" s="28" t="s">
        <v>79</v>
      </c>
      <c r="V104" s="28">
        <v>1</v>
      </c>
      <c r="W104" s="4"/>
      <c r="X104" s="12">
        <v>1</v>
      </c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>
        <v>1</v>
      </c>
      <c r="AM104" s="4">
        <v>1200</v>
      </c>
      <c r="AN104" s="4"/>
      <c r="AO104" s="4"/>
      <c r="AP104" s="4"/>
      <c r="AQ104" s="4"/>
      <c r="AR104" s="4"/>
      <c r="AS104" s="4"/>
      <c r="AT104" s="12">
        <v>1</v>
      </c>
      <c r="AU104" s="12">
        <v>12</v>
      </c>
      <c r="AV104" s="12">
        <v>1</v>
      </c>
      <c r="AW104" s="12">
        <v>126</v>
      </c>
      <c r="AX104" s="12">
        <v>1</v>
      </c>
      <c r="AY104" s="12">
        <v>108</v>
      </c>
    </row>
    <row r="105" spans="1:51" hidden="1" x14ac:dyDescent="0.3">
      <c r="A105" s="4"/>
      <c r="B105" s="32">
        <v>2</v>
      </c>
      <c r="C105" s="33">
        <v>44</v>
      </c>
      <c r="D105" s="14" t="s">
        <v>448</v>
      </c>
      <c r="E105" s="33" t="s">
        <v>276</v>
      </c>
      <c r="F105" s="5" t="s">
        <v>277</v>
      </c>
      <c r="G105" s="33" t="s">
        <v>276</v>
      </c>
      <c r="H105" s="71">
        <v>361584.95930599998</v>
      </c>
      <c r="I105" s="71">
        <v>6681841.9152459996</v>
      </c>
      <c r="J105" s="4"/>
      <c r="K105" s="28" t="s">
        <v>67</v>
      </c>
      <c r="L105" s="38">
        <v>0</v>
      </c>
      <c r="M105" s="34">
        <v>0</v>
      </c>
      <c r="N105" s="34">
        <v>1</v>
      </c>
      <c r="O105" s="39">
        <v>1</v>
      </c>
      <c r="P105" s="5"/>
      <c r="Q105" s="5"/>
      <c r="R105" s="76" t="s">
        <v>450</v>
      </c>
      <c r="S105" s="14" t="s">
        <v>433</v>
      </c>
      <c r="T105" s="28" t="s">
        <v>77</v>
      </c>
      <c r="U105" s="28" t="s">
        <v>79</v>
      </c>
      <c r="V105" s="28">
        <v>1</v>
      </c>
      <c r="W105" s="4"/>
      <c r="X105" s="12">
        <v>1</v>
      </c>
      <c r="Y105" s="4"/>
      <c r="Z105" s="4">
        <v>1</v>
      </c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>
        <v>1</v>
      </c>
      <c r="AM105" s="4">
        <v>1200</v>
      </c>
      <c r="AN105" s="4"/>
      <c r="AO105" s="4"/>
      <c r="AP105" s="4"/>
      <c r="AQ105" s="4"/>
      <c r="AR105" s="4"/>
      <c r="AS105" s="4"/>
      <c r="AT105" s="12">
        <v>1</v>
      </c>
      <c r="AU105" s="12">
        <v>12</v>
      </c>
      <c r="AV105" s="12">
        <v>1</v>
      </c>
      <c r="AW105" s="12">
        <v>126</v>
      </c>
      <c r="AX105" s="12">
        <v>1</v>
      </c>
      <c r="AY105" s="12">
        <v>108</v>
      </c>
    </row>
    <row r="106" spans="1:51" x14ac:dyDescent="0.3">
      <c r="A106" s="4"/>
      <c r="B106" s="32" t="s">
        <v>442</v>
      </c>
      <c r="C106" s="33">
        <v>49</v>
      </c>
      <c r="D106" s="5" t="s">
        <v>441</v>
      </c>
      <c r="E106" s="33" t="s">
        <v>278</v>
      </c>
      <c r="F106" s="5" t="s">
        <v>279</v>
      </c>
      <c r="G106" s="33" t="s">
        <v>278</v>
      </c>
      <c r="H106" s="71">
        <v>443347.00020000001</v>
      </c>
      <c r="I106" s="71">
        <v>6723296.9999980005</v>
      </c>
      <c r="J106" s="4"/>
      <c r="K106" s="28" t="s">
        <v>67</v>
      </c>
      <c r="L106" s="38">
        <v>0</v>
      </c>
      <c r="M106" s="34">
        <v>0</v>
      </c>
      <c r="N106" s="34">
        <v>1</v>
      </c>
      <c r="O106" s="39">
        <v>1</v>
      </c>
      <c r="P106" s="5"/>
      <c r="Q106" s="5"/>
      <c r="R106" s="14" t="s">
        <v>9</v>
      </c>
      <c r="S106" s="14" t="s">
        <v>433</v>
      </c>
      <c r="T106" s="28" t="s">
        <v>77</v>
      </c>
      <c r="U106" s="28" t="s">
        <v>79</v>
      </c>
      <c r="V106" s="28">
        <v>1</v>
      </c>
      <c r="W106" s="4"/>
      <c r="X106" s="12">
        <v>1</v>
      </c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>
        <v>1</v>
      </c>
      <c r="AM106" s="4">
        <v>1200</v>
      </c>
      <c r="AN106" s="4"/>
      <c r="AO106" s="4"/>
      <c r="AP106" s="4"/>
      <c r="AQ106" s="4"/>
      <c r="AR106" s="4"/>
      <c r="AS106" s="4"/>
      <c r="AT106" s="12">
        <v>1</v>
      </c>
      <c r="AU106" s="12">
        <v>12</v>
      </c>
      <c r="AV106" s="12">
        <v>1</v>
      </c>
      <c r="AW106" s="12">
        <v>126</v>
      </c>
      <c r="AX106" s="12">
        <v>1</v>
      </c>
      <c r="AY106" s="12">
        <v>108</v>
      </c>
    </row>
    <row r="107" spans="1:51" hidden="1" x14ac:dyDescent="0.3">
      <c r="A107" s="4"/>
      <c r="B107" s="32">
        <v>2</v>
      </c>
      <c r="C107" s="33">
        <v>49</v>
      </c>
      <c r="D107" s="5" t="s">
        <v>441</v>
      </c>
      <c r="E107" s="33" t="s">
        <v>280</v>
      </c>
      <c r="F107" s="5" t="s">
        <v>281</v>
      </c>
      <c r="G107" s="33" t="s">
        <v>280</v>
      </c>
      <c r="H107" s="71">
        <v>445359</v>
      </c>
      <c r="I107" s="71">
        <v>6673971</v>
      </c>
      <c r="J107" s="4"/>
      <c r="K107" s="28" t="s">
        <v>68</v>
      </c>
      <c r="L107" s="38">
        <v>0</v>
      </c>
      <c r="M107" s="34">
        <v>0</v>
      </c>
      <c r="N107" s="34">
        <v>1</v>
      </c>
      <c r="O107" s="39">
        <v>1</v>
      </c>
      <c r="P107" s="5"/>
      <c r="Q107" s="5"/>
      <c r="R107" s="14" t="s">
        <v>9</v>
      </c>
      <c r="S107" s="4" t="s">
        <v>433</v>
      </c>
      <c r="T107" s="28" t="s">
        <v>431</v>
      </c>
      <c r="U107" s="28" t="s">
        <v>78</v>
      </c>
      <c r="V107" s="28">
        <v>2</v>
      </c>
      <c r="W107" s="12">
        <v>1</v>
      </c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>
        <v>1</v>
      </c>
      <c r="AK107" s="4">
        <v>1260</v>
      </c>
      <c r="AL107" s="4"/>
      <c r="AM107" s="4"/>
      <c r="AN107" s="4"/>
      <c r="AO107" s="4"/>
      <c r="AP107" s="4"/>
      <c r="AQ107" s="4"/>
      <c r="AR107" s="4"/>
      <c r="AS107" s="4"/>
      <c r="AT107" s="12"/>
      <c r="AU107" s="12">
        <v>12</v>
      </c>
      <c r="AV107" s="12"/>
      <c r="AW107" s="12">
        <v>126</v>
      </c>
      <c r="AX107" s="12"/>
      <c r="AY107" s="12">
        <v>108</v>
      </c>
    </row>
    <row r="108" spans="1:51" x14ac:dyDescent="0.3">
      <c r="A108" s="4"/>
      <c r="B108" s="32">
        <v>2</v>
      </c>
      <c r="C108" s="33">
        <v>49</v>
      </c>
      <c r="D108" s="14" t="s">
        <v>441</v>
      </c>
      <c r="E108" s="33" t="s">
        <v>282</v>
      </c>
      <c r="F108" s="5" t="s">
        <v>283</v>
      </c>
      <c r="G108" s="33" t="s">
        <v>282</v>
      </c>
      <c r="H108" s="71">
        <v>466829.22031499998</v>
      </c>
      <c r="I108" s="71">
        <v>6681967.2062459998</v>
      </c>
      <c r="J108" s="4"/>
      <c r="K108" s="28" t="s">
        <v>428</v>
      </c>
      <c r="L108" s="38">
        <v>1</v>
      </c>
      <c r="M108" s="34">
        <v>0</v>
      </c>
      <c r="N108" s="34">
        <v>1</v>
      </c>
      <c r="O108" s="39">
        <v>1</v>
      </c>
      <c r="P108" s="5"/>
      <c r="Q108" s="5"/>
      <c r="R108" s="81" t="s">
        <v>9</v>
      </c>
      <c r="S108" s="4" t="s">
        <v>433</v>
      </c>
      <c r="T108" s="28" t="s">
        <v>77</v>
      </c>
      <c r="U108" s="28" t="s">
        <v>79</v>
      </c>
      <c r="V108" s="28">
        <v>1</v>
      </c>
      <c r="W108" s="12">
        <v>1</v>
      </c>
      <c r="X108" s="12">
        <v>1</v>
      </c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>
        <v>1</v>
      </c>
      <c r="AK108" s="4">
        <v>1260</v>
      </c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12"/>
      <c r="AW108" s="4"/>
      <c r="AX108" s="12"/>
      <c r="AY108" s="4"/>
    </row>
    <row r="109" spans="1:51" x14ac:dyDescent="0.3">
      <c r="A109" s="4"/>
      <c r="B109" s="32">
        <v>2</v>
      </c>
      <c r="C109" s="33">
        <v>49</v>
      </c>
      <c r="D109" s="5" t="s">
        <v>441</v>
      </c>
      <c r="E109" s="33" t="s">
        <v>284</v>
      </c>
      <c r="F109" s="5" t="s">
        <v>285</v>
      </c>
      <c r="G109" s="33" t="s">
        <v>284</v>
      </c>
      <c r="H109" s="71">
        <v>421791.535837</v>
      </c>
      <c r="I109" s="71">
        <v>6688594.8450100003</v>
      </c>
      <c r="J109" s="4"/>
      <c r="K109" s="28" t="s">
        <v>67</v>
      </c>
      <c r="L109" s="38">
        <v>0</v>
      </c>
      <c r="M109" s="34">
        <v>0</v>
      </c>
      <c r="N109" s="34">
        <v>1</v>
      </c>
      <c r="O109" s="39">
        <v>0</v>
      </c>
      <c r="P109" s="5"/>
      <c r="Q109" s="5"/>
      <c r="R109" s="14" t="s">
        <v>9</v>
      </c>
      <c r="S109" s="4" t="s">
        <v>433</v>
      </c>
      <c r="T109" s="28" t="s">
        <v>431</v>
      </c>
      <c r="U109" s="28" t="s">
        <v>78</v>
      </c>
      <c r="V109" s="28">
        <v>2</v>
      </c>
      <c r="W109" s="4"/>
      <c r="X109" s="12">
        <v>1</v>
      </c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12">
        <v>1</v>
      </c>
      <c r="AK109" s="12">
        <v>1260</v>
      </c>
      <c r="AL109" s="4"/>
      <c r="AM109" s="4"/>
      <c r="AN109" s="4"/>
      <c r="AO109" s="4"/>
      <c r="AP109" s="4"/>
      <c r="AQ109" s="4"/>
      <c r="AR109" s="4"/>
      <c r="AS109" s="4"/>
      <c r="AT109" s="12">
        <v>1</v>
      </c>
      <c r="AU109" s="12">
        <v>12</v>
      </c>
      <c r="AV109" s="12">
        <v>1</v>
      </c>
      <c r="AW109" s="12">
        <v>126</v>
      </c>
      <c r="AX109" s="12">
        <v>1</v>
      </c>
      <c r="AY109" s="12">
        <v>108</v>
      </c>
    </row>
    <row r="110" spans="1:51" hidden="1" x14ac:dyDescent="0.3">
      <c r="A110" s="4"/>
      <c r="B110" s="32">
        <v>2</v>
      </c>
      <c r="C110" s="33">
        <v>49</v>
      </c>
      <c r="D110" s="14" t="s">
        <v>444</v>
      </c>
      <c r="E110" s="33" t="s">
        <v>286</v>
      </c>
      <c r="F110" s="5" t="s">
        <v>287</v>
      </c>
      <c r="G110" s="33" t="s">
        <v>286</v>
      </c>
      <c r="H110" s="71">
        <v>408483</v>
      </c>
      <c r="I110" s="71">
        <v>6706415.9999980005</v>
      </c>
      <c r="J110" s="4"/>
      <c r="K110" s="28" t="s">
        <v>428</v>
      </c>
      <c r="L110" s="38">
        <v>1</v>
      </c>
      <c r="M110" s="34">
        <v>0</v>
      </c>
      <c r="N110" s="34">
        <v>1</v>
      </c>
      <c r="O110" s="39">
        <v>1</v>
      </c>
      <c r="P110" s="5"/>
      <c r="Q110" s="5"/>
      <c r="R110" s="5" t="s">
        <v>8</v>
      </c>
      <c r="S110" s="4" t="s">
        <v>433</v>
      </c>
      <c r="T110" s="28" t="s">
        <v>77</v>
      </c>
      <c r="U110" s="28" t="s">
        <v>79</v>
      </c>
      <c r="V110" s="28">
        <v>1</v>
      </c>
      <c r="W110" s="12">
        <v>1</v>
      </c>
      <c r="X110" s="12">
        <v>1</v>
      </c>
      <c r="Y110" s="4"/>
      <c r="Z110" s="4">
        <v>1</v>
      </c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12"/>
      <c r="AW110" s="4"/>
      <c r="AX110" s="12"/>
      <c r="AY110" s="4"/>
    </row>
    <row r="111" spans="1:51" hidden="1" x14ac:dyDescent="0.3">
      <c r="A111" s="4"/>
      <c r="B111" s="32">
        <v>2</v>
      </c>
      <c r="C111" s="33">
        <v>49</v>
      </c>
      <c r="D111" s="14" t="s">
        <v>444</v>
      </c>
      <c r="E111" s="33" t="s">
        <v>288</v>
      </c>
      <c r="F111" s="5" t="s">
        <v>289</v>
      </c>
      <c r="G111" s="33" t="s">
        <v>288</v>
      </c>
      <c r="H111" s="71">
        <v>453170.40164</v>
      </c>
      <c r="I111" s="71">
        <v>6703190.8210180001</v>
      </c>
      <c r="J111" s="4"/>
      <c r="K111" s="28" t="s">
        <v>428</v>
      </c>
      <c r="L111" s="38">
        <v>1</v>
      </c>
      <c r="M111" s="34">
        <v>0</v>
      </c>
      <c r="N111" s="34">
        <v>1</v>
      </c>
      <c r="O111" s="39">
        <v>1</v>
      </c>
      <c r="P111" s="12">
        <v>0</v>
      </c>
      <c r="Q111" s="5" t="s">
        <v>436</v>
      </c>
      <c r="R111" s="5" t="s">
        <v>8</v>
      </c>
      <c r="S111" s="4" t="s">
        <v>433</v>
      </c>
      <c r="T111" s="28" t="s">
        <v>77</v>
      </c>
      <c r="U111" s="28" t="s">
        <v>79</v>
      </c>
      <c r="V111" s="28">
        <v>1</v>
      </c>
      <c r="W111" s="12">
        <v>1</v>
      </c>
      <c r="X111" s="12">
        <v>1</v>
      </c>
      <c r="Y111" s="4"/>
      <c r="Z111" s="4">
        <v>1</v>
      </c>
      <c r="AA111" s="4">
        <v>1</v>
      </c>
      <c r="AB111" s="4">
        <v>1</v>
      </c>
      <c r="AC111" s="80">
        <v>1</v>
      </c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12"/>
      <c r="AW111" s="4"/>
      <c r="AX111" s="12"/>
      <c r="AY111" s="4"/>
    </row>
    <row r="112" spans="1:51" hidden="1" x14ac:dyDescent="0.3">
      <c r="A112" s="4"/>
      <c r="B112" s="32">
        <v>2</v>
      </c>
      <c r="C112" s="33">
        <v>49</v>
      </c>
      <c r="D112" s="5" t="s">
        <v>441</v>
      </c>
      <c r="E112" s="33" t="s">
        <v>290</v>
      </c>
      <c r="F112" s="5" t="s">
        <v>291</v>
      </c>
      <c r="G112" s="33" t="s">
        <v>290</v>
      </c>
      <c r="H112" s="71">
        <v>417755.82753200002</v>
      </c>
      <c r="I112" s="71">
        <v>6736336.4907630002</v>
      </c>
      <c r="J112" s="4"/>
      <c r="K112" s="28" t="s">
        <v>68</v>
      </c>
      <c r="L112" s="38">
        <v>0</v>
      </c>
      <c r="M112" s="34">
        <v>0</v>
      </c>
      <c r="N112" s="34">
        <v>1</v>
      </c>
      <c r="O112" s="39">
        <v>1</v>
      </c>
      <c r="P112" s="5"/>
      <c r="Q112" s="5"/>
      <c r="R112" s="14" t="s">
        <v>9</v>
      </c>
      <c r="S112" s="4" t="s">
        <v>433</v>
      </c>
      <c r="T112" s="28" t="s">
        <v>77</v>
      </c>
      <c r="U112" s="28" t="s">
        <v>79</v>
      </c>
      <c r="V112" s="28">
        <v>1</v>
      </c>
      <c r="W112" s="12">
        <v>1</v>
      </c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>
        <v>1</v>
      </c>
      <c r="AM112" s="4">
        <v>1200</v>
      </c>
      <c r="AN112" s="4"/>
      <c r="AO112" s="4"/>
      <c r="AP112" s="4"/>
      <c r="AQ112" s="4"/>
      <c r="AR112" s="4"/>
      <c r="AS112" s="4"/>
      <c r="AT112" s="12"/>
      <c r="AU112" s="12">
        <v>12</v>
      </c>
      <c r="AV112" s="12"/>
      <c r="AW112" s="12">
        <v>126</v>
      </c>
      <c r="AX112" s="12"/>
      <c r="AY112" s="12">
        <v>108</v>
      </c>
    </row>
    <row r="113" spans="1:51" hidden="1" x14ac:dyDescent="0.3">
      <c r="A113" s="4"/>
      <c r="B113" s="32">
        <v>2</v>
      </c>
      <c r="C113" s="33">
        <v>49</v>
      </c>
      <c r="D113" s="14" t="s">
        <v>448</v>
      </c>
      <c r="E113" s="33" t="s">
        <v>292</v>
      </c>
      <c r="F113" s="5" t="s">
        <v>293</v>
      </c>
      <c r="G113" s="33" t="s">
        <v>292</v>
      </c>
      <c r="H113" s="71">
        <v>409655.52966599999</v>
      </c>
      <c r="I113" s="71">
        <v>6734527.4103990002</v>
      </c>
      <c r="J113" s="4"/>
      <c r="K113" s="28" t="s">
        <v>68</v>
      </c>
      <c r="L113" s="38">
        <v>0</v>
      </c>
      <c r="M113" s="34">
        <v>0</v>
      </c>
      <c r="N113" s="34">
        <v>1</v>
      </c>
      <c r="O113" s="39">
        <v>0</v>
      </c>
      <c r="P113" s="12">
        <v>1</v>
      </c>
      <c r="Q113" s="5" t="s">
        <v>436</v>
      </c>
      <c r="R113" s="14" t="s">
        <v>450</v>
      </c>
      <c r="S113" s="4" t="s">
        <v>433</v>
      </c>
      <c r="T113" s="28" t="s">
        <v>431</v>
      </c>
      <c r="U113" s="28" t="s">
        <v>78</v>
      </c>
      <c r="V113" s="28">
        <v>2</v>
      </c>
      <c r="W113" s="12">
        <v>1</v>
      </c>
      <c r="X113" s="4"/>
      <c r="Y113" s="4"/>
      <c r="Z113" s="4"/>
      <c r="AA113" s="4">
        <v>1</v>
      </c>
      <c r="AB113" s="4"/>
      <c r="AC113" s="80">
        <v>0</v>
      </c>
      <c r="AD113" s="4"/>
      <c r="AE113" s="4"/>
      <c r="AF113" s="4"/>
      <c r="AG113" s="4"/>
      <c r="AH113" s="4"/>
      <c r="AI113" s="4"/>
      <c r="AJ113" s="4">
        <v>1</v>
      </c>
      <c r="AK113" s="4">
        <v>1260</v>
      </c>
      <c r="AL113" s="4"/>
      <c r="AM113" s="4"/>
      <c r="AN113" s="4"/>
      <c r="AO113" s="4"/>
      <c r="AP113" s="4"/>
      <c r="AQ113" s="4"/>
      <c r="AR113" s="4">
        <v>1</v>
      </c>
      <c r="AS113" s="4">
        <v>240</v>
      </c>
      <c r="AT113" s="12"/>
      <c r="AU113" s="12">
        <v>12</v>
      </c>
      <c r="AV113" s="12"/>
      <c r="AW113" s="12">
        <v>126</v>
      </c>
      <c r="AX113" s="12"/>
      <c r="AY113" s="12">
        <v>108</v>
      </c>
    </row>
    <row r="114" spans="1:51" hidden="1" x14ac:dyDescent="0.3">
      <c r="A114" s="4"/>
      <c r="B114" s="32">
        <v>2</v>
      </c>
      <c r="C114" s="33">
        <v>49</v>
      </c>
      <c r="D114" s="5" t="s">
        <v>441</v>
      </c>
      <c r="E114" s="33" t="s">
        <v>294</v>
      </c>
      <c r="F114" s="5" t="s">
        <v>295</v>
      </c>
      <c r="G114" s="33" t="s">
        <v>294</v>
      </c>
      <c r="H114" s="71">
        <v>437560.35384400003</v>
      </c>
      <c r="I114" s="71">
        <v>6730357.8841789998</v>
      </c>
      <c r="J114" s="4"/>
      <c r="K114" s="28" t="s">
        <v>68</v>
      </c>
      <c r="L114" s="38">
        <v>0</v>
      </c>
      <c r="M114" s="34">
        <v>0</v>
      </c>
      <c r="N114" s="34">
        <v>1</v>
      </c>
      <c r="O114" s="39">
        <v>1</v>
      </c>
      <c r="P114" s="5"/>
      <c r="Q114" s="5"/>
      <c r="R114" s="14" t="s">
        <v>9</v>
      </c>
      <c r="S114" s="4" t="s">
        <v>433</v>
      </c>
      <c r="T114" s="28" t="s">
        <v>77</v>
      </c>
      <c r="U114" s="28" t="s">
        <v>79</v>
      </c>
      <c r="V114" s="28">
        <v>1</v>
      </c>
      <c r="W114" s="12">
        <v>1</v>
      </c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>
        <v>1</v>
      </c>
      <c r="AM114" s="4">
        <v>1200</v>
      </c>
      <c r="AN114" s="4"/>
      <c r="AO114" s="4"/>
      <c r="AP114" s="4"/>
      <c r="AQ114" s="4"/>
      <c r="AR114" s="4"/>
      <c r="AS114" s="4"/>
      <c r="AT114" s="12"/>
      <c r="AU114" s="12">
        <v>12</v>
      </c>
      <c r="AV114" s="12"/>
      <c r="AW114" s="12">
        <v>126</v>
      </c>
      <c r="AX114" s="12"/>
      <c r="AY114" s="12">
        <v>108</v>
      </c>
    </row>
    <row r="115" spans="1:51" hidden="1" x14ac:dyDescent="0.3">
      <c r="A115" s="4"/>
      <c r="B115" s="32">
        <v>2</v>
      </c>
      <c r="C115" s="33">
        <v>49</v>
      </c>
      <c r="D115" s="5" t="s">
        <v>441</v>
      </c>
      <c r="E115" s="33" t="s">
        <v>296</v>
      </c>
      <c r="F115" s="5" t="s">
        <v>297</v>
      </c>
      <c r="G115" s="33" t="s">
        <v>296</v>
      </c>
      <c r="H115" s="71">
        <v>467356.00020000001</v>
      </c>
      <c r="I115" s="71">
        <v>6678711</v>
      </c>
      <c r="J115" s="4"/>
      <c r="K115" s="28" t="s">
        <v>68</v>
      </c>
      <c r="L115" s="38">
        <v>0</v>
      </c>
      <c r="M115" s="34">
        <v>0</v>
      </c>
      <c r="N115" s="34">
        <v>1</v>
      </c>
      <c r="O115" s="39">
        <v>1</v>
      </c>
      <c r="P115" s="5"/>
      <c r="Q115" s="5"/>
      <c r="R115" s="14" t="s">
        <v>9</v>
      </c>
      <c r="S115" s="4" t="s">
        <v>434</v>
      </c>
      <c r="T115" s="28" t="s">
        <v>77</v>
      </c>
      <c r="U115" s="28" t="s">
        <v>79</v>
      </c>
      <c r="V115" s="28">
        <v>1</v>
      </c>
      <c r="W115" s="12">
        <v>1</v>
      </c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>
        <v>1</v>
      </c>
      <c r="AM115" s="4">
        <v>1200</v>
      </c>
      <c r="AN115" s="4"/>
      <c r="AO115" s="4"/>
      <c r="AP115" s="4"/>
      <c r="AQ115" s="4"/>
      <c r="AR115" s="4"/>
      <c r="AS115" s="4"/>
      <c r="AT115" s="12"/>
      <c r="AU115" s="12">
        <v>12</v>
      </c>
      <c r="AV115" s="12"/>
      <c r="AW115" s="12">
        <v>126</v>
      </c>
      <c r="AX115" s="12"/>
      <c r="AY115" s="12">
        <v>108</v>
      </c>
    </row>
    <row r="116" spans="1:51" hidden="1" x14ac:dyDescent="0.3">
      <c r="A116" s="4"/>
      <c r="B116" s="32">
        <v>2</v>
      </c>
      <c r="C116" s="33">
        <v>49</v>
      </c>
      <c r="D116" s="5" t="s">
        <v>441</v>
      </c>
      <c r="E116" s="33" t="s">
        <v>298</v>
      </c>
      <c r="F116" s="5" t="s">
        <v>299</v>
      </c>
      <c r="G116" s="33" t="s">
        <v>298</v>
      </c>
      <c r="H116" s="71">
        <v>441465</v>
      </c>
      <c r="I116" s="71">
        <v>6710191.9997979999</v>
      </c>
      <c r="J116" s="4"/>
      <c r="K116" s="28" t="s">
        <v>68</v>
      </c>
      <c r="L116" s="38">
        <v>0</v>
      </c>
      <c r="M116" s="34">
        <v>0</v>
      </c>
      <c r="N116" s="34">
        <v>1</v>
      </c>
      <c r="O116" s="39">
        <v>1</v>
      </c>
      <c r="P116" s="5"/>
      <c r="Q116" s="5"/>
      <c r="R116" s="14" t="s">
        <v>9</v>
      </c>
      <c r="S116" s="4" t="s">
        <v>434</v>
      </c>
      <c r="T116" s="28" t="s">
        <v>77</v>
      </c>
      <c r="U116" s="28" t="s">
        <v>79</v>
      </c>
      <c r="V116" s="28">
        <v>1</v>
      </c>
      <c r="W116" s="12">
        <v>1</v>
      </c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>
        <v>1</v>
      </c>
      <c r="AM116" s="4">
        <v>1200</v>
      </c>
      <c r="AN116" s="4"/>
      <c r="AO116" s="4"/>
      <c r="AP116" s="4"/>
      <c r="AQ116" s="4"/>
      <c r="AR116" s="4"/>
      <c r="AS116" s="4"/>
      <c r="AT116" s="12"/>
      <c r="AU116" s="12">
        <v>12</v>
      </c>
      <c r="AV116" s="12"/>
      <c r="AW116" s="12">
        <v>126</v>
      </c>
      <c r="AX116" s="12"/>
      <c r="AY116" s="12">
        <v>108</v>
      </c>
    </row>
    <row r="117" spans="1:51" hidden="1" x14ac:dyDescent="0.3">
      <c r="A117" s="4"/>
      <c r="B117" s="32">
        <v>2</v>
      </c>
      <c r="C117" s="33">
        <v>49</v>
      </c>
      <c r="D117" s="5" t="s">
        <v>441</v>
      </c>
      <c r="E117" s="33" t="s">
        <v>300</v>
      </c>
      <c r="F117" s="5" t="s">
        <v>301</v>
      </c>
      <c r="G117" s="33" t="s">
        <v>300</v>
      </c>
      <c r="H117" s="71">
        <v>462932.65902000002</v>
      </c>
      <c r="I117" s="71">
        <v>6702418.3216509996</v>
      </c>
      <c r="J117" s="4"/>
      <c r="K117" s="28" t="s">
        <v>68</v>
      </c>
      <c r="L117" s="38">
        <v>0</v>
      </c>
      <c r="M117" s="34">
        <v>0</v>
      </c>
      <c r="N117" s="34">
        <v>1</v>
      </c>
      <c r="O117" s="39">
        <v>1</v>
      </c>
      <c r="P117" s="5"/>
      <c r="Q117" s="5"/>
      <c r="R117" s="14" t="s">
        <v>9</v>
      </c>
      <c r="S117" s="4" t="s">
        <v>434</v>
      </c>
      <c r="T117" s="28" t="s">
        <v>77</v>
      </c>
      <c r="U117" s="28" t="s">
        <v>79</v>
      </c>
      <c r="V117" s="28">
        <v>1</v>
      </c>
      <c r="W117" s="12">
        <v>1</v>
      </c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>
        <v>1</v>
      </c>
      <c r="AM117" s="4">
        <v>1200</v>
      </c>
      <c r="AN117" s="4"/>
      <c r="AO117" s="4"/>
      <c r="AP117" s="4"/>
      <c r="AQ117" s="4"/>
      <c r="AR117" s="4"/>
      <c r="AS117" s="4"/>
      <c r="AT117" s="12"/>
      <c r="AU117" s="12">
        <v>12</v>
      </c>
      <c r="AV117" s="12"/>
      <c r="AW117" s="12">
        <v>126</v>
      </c>
      <c r="AX117" s="12"/>
      <c r="AY117" s="12">
        <v>108</v>
      </c>
    </row>
    <row r="118" spans="1:51" x14ac:dyDescent="0.3">
      <c r="A118" s="4"/>
      <c r="B118" s="32">
        <v>2</v>
      </c>
      <c r="C118" s="33">
        <v>49</v>
      </c>
      <c r="D118" s="5" t="s">
        <v>441</v>
      </c>
      <c r="E118" s="33" t="s">
        <v>302</v>
      </c>
      <c r="F118" s="5" t="s">
        <v>303</v>
      </c>
      <c r="G118" s="33" t="s">
        <v>302</v>
      </c>
      <c r="H118" s="71">
        <v>394740</v>
      </c>
      <c r="I118" s="71">
        <v>6700582.9997979999</v>
      </c>
      <c r="J118" s="4"/>
      <c r="K118" s="28" t="s">
        <v>67</v>
      </c>
      <c r="L118" s="38">
        <v>0</v>
      </c>
      <c r="M118" s="34">
        <v>0</v>
      </c>
      <c r="N118" s="34">
        <v>1</v>
      </c>
      <c r="O118" s="39">
        <v>1</v>
      </c>
      <c r="P118" s="5"/>
      <c r="Q118" s="5"/>
      <c r="R118" s="14" t="s">
        <v>9</v>
      </c>
      <c r="S118" s="4" t="s">
        <v>433</v>
      </c>
      <c r="T118" s="28" t="s">
        <v>77</v>
      </c>
      <c r="U118" s="28" t="s">
        <v>79</v>
      </c>
      <c r="V118" s="28">
        <v>1</v>
      </c>
      <c r="W118" s="4"/>
      <c r="X118" s="12">
        <v>1</v>
      </c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>
        <v>1</v>
      </c>
      <c r="AM118" s="4">
        <v>1200</v>
      </c>
      <c r="AN118" s="4"/>
      <c r="AO118" s="4"/>
      <c r="AP118" s="4"/>
      <c r="AQ118" s="4"/>
      <c r="AR118" s="4"/>
      <c r="AS118" s="4"/>
      <c r="AT118" s="12">
        <v>1</v>
      </c>
      <c r="AU118" s="12">
        <v>12</v>
      </c>
      <c r="AV118" s="12">
        <v>1</v>
      </c>
      <c r="AW118" s="12">
        <v>126</v>
      </c>
      <c r="AX118" s="12">
        <v>1</v>
      </c>
      <c r="AY118" s="12">
        <v>108</v>
      </c>
    </row>
    <row r="119" spans="1:51" x14ac:dyDescent="0.3">
      <c r="A119" s="4"/>
      <c r="B119" s="32">
        <v>2</v>
      </c>
      <c r="C119" s="33">
        <v>49</v>
      </c>
      <c r="D119" s="5" t="s">
        <v>441</v>
      </c>
      <c r="E119" s="33" t="s">
        <v>304</v>
      </c>
      <c r="F119" s="5" t="s">
        <v>305</v>
      </c>
      <c r="G119" s="33" t="s">
        <v>304</v>
      </c>
      <c r="H119" s="71">
        <v>428239.99979999999</v>
      </c>
      <c r="I119" s="71">
        <v>6721768.0001980001</v>
      </c>
      <c r="J119" s="4"/>
      <c r="K119" s="28" t="s">
        <v>67</v>
      </c>
      <c r="L119" s="38">
        <v>0</v>
      </c>
      <c r="M119" s="34">
        <v>0</v>
      </c>
      <c r="N119" s="34">
        <v>1</v>
      </c>
      <c r="O119" s="39">
        <v>1</v>
      </c>
      <c r="P119" s="5"/>
      <c r="Q119" s="5"/>
      <c r="R119" s="14" t="s">
        <v>9</v>
      </c>
      <c r="S119" s="4" t="s">
        <v>433</v>
      </c>
      <c r="T119" s="28" t="s">
        <v>77</v>
      </c>
      <c r="U119" s="28" t="s">
        <v>79</v>
      </c>
      <c r="V119" s="28">
        <v>1</v>
      </c>
      <c r="W119" s="4"/>
      <c r="X119" s="12">
        <v>1</v>
      </c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>
        <v>1</v>
      </c>
      <c r="AM119" s="4">
        <v>1200</v>
      </c>
      <c r="AN119" s="4"/>
      <c r="AO119" s="4"/>
      <c r="AP119" s="4"/>
      <c r="AQ119" s="4"/>
      <c r="AR119" s="4"/>
      <c r="AS119" s="4"/>
      <c r="AT119" s="12">
        <v>1</v>
      </c>
      <c r="AU119" s="12">
        <v>12</v>
      </c>
      <c r="AV119" s="12">
        <v>1</v>
      </c>
      <c r="AW119" s="12">
        <v>126</v>
      </c>
      <c r="AX119" s="12">
        <v>1</v>
      </c>
      <c r="AY119" s="12">
        <v>108</v>
      </c>
    </row>
    <row r="120" spans="1:51" x14ac:dyDescent="0.3">
      <c r="A120" s="4"/>
      <c r="B120" s="32">
        <v>2</v>
      </c>
      <c r="C120" s="33">
        <v>49</v>
      </c>
      <c r="D120" s="5" t="s">
        <v>441</v>
      </c>
      <c r="E120" s="33" t="s">
        <v>306</v>
      </c>
      <c r="F120" s="5" t="s">
        <v>307</v>
      </c>
      <c r="G120" s="33" t="s">
        <v>306</v>
      </c>
      <c r="H120" s="71">
        <v>426108.70163299999</v>
      </c>
      <c r="I120" s="71">
        <v>6697024.2001240002</v>
      </c>
      <c r="J120" s="4"/>
      <c r="K120" s="28" t="s">
        <v>67</v>
      </c>
      <c r="L120" s="38">
        <v>0</v>
      </c>
      <c r="M120" s="34">
        <v>0</v>
      </c>
      <c r="N120" s="34">
        <v>1</v>
      </c>
      <c r="O120" s="39">
        <v>1</v>
      </c>
      <c r="P120" s="5"/>
      <c r="Q120" s="5"/>
      <c r="R120" s="14" t="s">
        <v>9</v>
      </c>
      <c r="S120" s="4" t="s">
        <v>433</v>
      </c>
      <c r="T120" s="28" t="s">
        <v>77</v>
      </c>
      <c r="U120" s="28" t="s">
        <v>79</v>
      </c>
      <c r="V120" s="28">
        <v>1</v>
      </c>
      <c r="W120" s="4"/>
      <c r="X120" s="12">
        <v>1</v>
      </c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>
        <v>1</v>
      </c>
      <c r="AM120" s="4">
        <v>1200</v>
      </c>
      <c r="AN120" s="4"/>
      <c r="AO120" s="4"/>
      <c r="AP120" s="4"/>
      <c r="AQ120" s="4"/>
      <c r="AR120" s="4"/>
      <c r="AS120" s="4"/>
      <c r="AT120" s="12">
        <v>1</v>
      </c>
      <c r="AU120" s="12">
        <v>12</v>
      </c>
      <c r="AV120" s="12">
        <v>1</v>
      </c>
      <c r="AW120" s="12">
        <v>126</v>
      </c>
      <c r="AX120" s="12">
        <v>1</v>
      </c>
      <c r="AY120" s="12">
        <v>108</v>
      </c>
    </row>
    <row r="121" spans="1:51" hidden="1" x14ac:dyDescent="0.3">
      <c r="A121" s="4"/>
      <c r="B121" s="32">
        <v>2</v>
      </c>
      <c r="C121" s="33">
        <v>49</v>
      </c>
      <c r="D121" s="77" t="s">
        <v>448</v>
      </c>
      <c r="E121" s="33" t="s">
        <v>308</v>
      </c>
      <c r="F121" s="5" t="s">
        <v>309</v>
      </c>
      <c r="G121" s="33" t="s">
        <v>308</v>
      </c>
      <c r="H121" s="71">
        <v>455442</v>
      </c>
      <c r="I121" s="71">
        <v>6710815.9997979999</v>
      </c>
      <c r="J121" s="4"/>
      <c r="K121" s="28" t="s">
        <v>67</v>
      </c>
      <c r="L121" s="38">
        <v>0</v>
      </c>
      <c r="M121" s="34">
        <v>0</v>
      </c>
      <c r="N121" s="34">
        <v>1</v>
      </c>
      <c r="O121" s="39">
        <v>1</v>
      </c>
      <c r="P121" s="5"/>
      <c r="Q121" s="5"/>
      <c r="R121" s="76" t="s">
        <v>450</v>
      </c>
      <c r="S121" s="4" t="s">
        <v>433</v>
      </c>
      <c r="T121" s="28" t="s">
        <v>431</v>
      </c>
      <c r="U121" s="28" t="s">
        <v>78</v>
      </c>
      <c r="V121" s="28">
        <v>2</v>
      </c>
      <c r="W121" s="4"/>
      <c r="X121" s="12">
        <v>1</v>
      </c>
      <c r="Y121" s="4"/>
      <c r="Z121" s="4">
        <v>1</v>
      </c>
      <c r="AA121" s="4"/>
      <c r="AB121" s="4"/>
      <c r="AC121" s="4"/>
      <c r="AD121" s="4"/>
      <c r="AE121" s="4"/>
      <c r="AF121" s="4"/>
      <c r="AG121" s="4"/>
      <c r="AH121" s="4"/>
      <c r="AI121" s="4"/>
      <c r="AJ121" s="12">
        <v>1</v>
      </c>
      <c r="AK121" s="12">
        <v>1260</v>
      </c>
      <c r="AL121" s="4"/>
      <c r="AM121" s="4"/>
      <c r="AN121" s="4"/>
      <c r="AO121" s="4"/>
      <c r="AP121" s="4"/>
      <c r="AQ121" s="4"/>
      <c r="AR121" s="4"/>
      <c r="AS121" s="4"/>
      <c r="AT121" s="12">
        <v>1</v>
      </c>
      <c r="AU121" s="12">
        <v>12</v>
      </c>
      <c r="AV121" s="12">
        <v>1</v>
      </c>
      <c r="AW121" s="12">
        <v>126</v>
      </c>
      <c r="AX121" s="12">
        <v>1</v>
      </c>
      <c r="AY121" s="12">
        <v>108</v>
      </c>
    </row>
    <row r="122" spans="1:51" hidden="1" x14ac:dyDescent="0.3">
      <c r="A122" s="4"/>
      <c r="B122" s="32">
        <v>2</v>
      </c>
      <c r="C122" s="33">
        <v>49</v>
      </c>
      <c r="D122" s="77" t="s">
        <v>448</v>
      </c>
      <c r="E122" s="33" t="s">
        <v>310</v>
      </c>
      <c r="F122" s="5" t="s">
        <v>311</v>
      </c>
      <c r="G122" s="33" t="s">
        <v>310</v>
      </c>
      <c r="H122" s="71">
        <v>428232.415209</v>
      </c>
      <c r="I122" s="71">
        <v>6716944.6679020002</v>
      </c>
      <c r="J122" s="4"/>
      <c r="K122" s="28" t="s">
        <v>67</v>
      </c>
      <c r="L122" s="38">
        <v>0</v>
      </c>
      <c r="M122" s="34">
        <v>0</v>
      </c>
      <c r="N122" s="34">
        <v>1</v>
      </c>
      <c r="O122" s="39">
        <v>0</v>
      </c>
      <c r="P122" s="5"/>
      <c r="Q122" s="5"/>
      <c r="R122" s="76" t="s">
        <v>450</v>
      </c>
      <c r="S122" s="4" t="s">
        <v>434</v>
      </c>
      <c r="T122" s="28" t="s">
        <v>431</v>
      </c>
      <c r="U122" s="28" t="s">
        <v>78</v>
      </c>
      <c r="V122" s="28">
        <v>2</v>
      </c>
      <c r="W122" s="4"/>
      <c r="X122" s="12">
        <v>1</v>
      </c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12">
        <v>1</v>
      </c>
      <c r="AK122" s="12">
        <v>1260</v>
      </c>
      <c r="AL122" s="4"/>
      <c r="AM122" s="4"/>
      <c r="AN122" s="4"/>
      <c r="AO122" s="4"/>
      <c r="AP122" s="4"/>
      <c r="AQ122" s="4"/>
      <c r="AR122" s="4"/>
      <c r="AS122" s="4"/>
      <c r="AT122" s="12">
        <v>1</v>
      </c>
      <c r="AU122" s="12">
        <v>12</v>
      </c>
      <c r="AV122" s="12">
        <v>1</v>
      </c>
      <c r="AW122" s="12">
        <v>126</v>
      </c>
      <c r="AX122" s="12">
        <v>1</v>
      </c>
      <c r="AY122" s="12">
        <v>108</v>
      </c>
    </row>
    <row r="123" spans="1:51" x14ac:dyDescent="0.3">
      <c r="A123" s="4"/>
      <c r="B123" s="32">
        <v>2</v>
      </c>
      <c r="C123" s="33">
        <v>49</v>
      </c>
      <c r="D123" s="5" t="s">
        <v>441</v>
      </c>
      <c r="E123" s="33" t="s">
        <v>312</v>
      </c>
      <c r="F123" s="5" t="s">
        <v>313</v>
      </c>
      <c r="G123" s="33" t="s">
        <v>312</v>
      </c>
      <c r="H123" s="71">
        <v>373633.00020000001</v>
      </c>
      <c r="I123" s="71">
        <v>6698428.0001980001</v>
      </c>
      <c r="J123" s="4"/>
      <c r="K123" s="28" t="s">
        <v>67</v>
      </c>
      <c r="L123" s="38">
        <v>0</v>
      </c>
      <c r="M123" s="34">
        <v>0</v>
      </c>
      <c r="N123" s="34">
        <v>1</v>
      </c>
      <c r="O123" s="39">
        <v>1</v>
      </c>
      <c r="P123" s="5"/>
      <c r="Q123" s="5"/>
      <c r="R123" s="14" t="s">
        <v>9</v>
      </c>
      <c r="S123" s="4" t="s">
        <v>434</v>
      </c>
      <c r="T123" s="28" t="s">
        <v>431</v>
      </c>
      <c r="U123" s="28" t="s">
        <v>78</v>
      </c>
      <c r="V123" s="28">
        <v>2</v>
      </c>
      <c r="W123" s="4">
        <v>1</v>
      </c>
      <c r="X123" s="12">
        <v>1</v>
      </c>
      <c r="Y123" s="4">
        <v>1</v>
      </c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12">
        <v>1</v>
      </c>
      <c r="AK123" s="12">
        <v>1260</v>
      </c>
      <c r="AL123" s="4"/>
      <c r="AM123" s="4"/>
      <c r="AN123" s="4"/>
      <c r="AO123" s="4"/>
      <c r="AP123" s="4"/>
      <c r="AQ123" s="4"/>
      <c r="AR123" s="4"/>
      <c r="AS123" s="4"/>
      <c r="AT123" s="12"/>
      <c r="AU123" s="12">
        <v>12</v>
      </c>
      <c r="AV123" s="12"/>
      <c r="AW123" s="12">
        <v>126</v>
      </c>
      <c r="AX123" s="12"/>
      <c r="AY123" s="12">
        <v>108</v>
      </c>
    </row>
    <row r="124" spans="1:51" x14ac:dyDescent="0.3">
      <c r="A124" s="4"/>
      <c r="B124" s="32">
        <v>2</v>
      </c>
      <c r="C124" s="33">
        <v>49</v>
      </c>
      <c r="D124" s="5" t="s">
        <v>441</v>
      </c>
      <c r="E124" s="33" t="s">
        <v>314</v>
      </c>
      <c r="F124" s="5" t="s">
        <v>315</v>
      </c>
      <c r="G124" s="33" t="s">
        <v>314</v>
      </c>
      <c r="H124" s="71">
        <v>428060.54519999999</v>
      </c>
      <c r="I124" s="71">
        <v>6708448.5785980001</v>
      </c>
      <c r="J124" s="4"/>
      <c r="K124" s="28" t="s">
        <v>67</v>
      </c>
      <c r="L124" s="38">
        <v>0</v>
      </c>
      <c r="M124" s="34">
        <v>0</v>
      </c>
      <c r="N124" s="34">
        <v>1</v>
      </c>
      <c r="O124" s="39">
        <v>1</v>
      </c>
      <c r="P124" s="5"/>
      <c r="Q124" s="5"/>
      <c r="R124" s="14" t="s">
        <v>9</v>
      </c>
      <c r="S124" s="4" t="s">
        <v>433</v>
      </c>
      <c r="T124" s="28" t="s">
        <v>77</v>
      </c>
      <c r="U124" s="28" t="s">
        <v>79</v>
      </c>
      <c r="V124" s="28">
        <v>1</v>
      </c>
      <c r="W124" s="4"/>
      <c r="X124" s="12">
        <v>1</v>
      </c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>
        <v>1</v>
      </c>
      <c r="AM124" s="4">
        <v>1200</v>
      </c>
      <c r="AN124" s="4"/>
      <c r="AO124" s="4"/>
      <c r="AP124" s="4"/>
      <c r="AQ124" s="4"/>
      <c r="AR124" s="4"/>
      <c r="AS124" s="4"/>
      <c r="AT124" s="12">
        <v>1</v>
      </c>
      <c r="AU124" s="12">
        <v>12</v>
      </c>
      <c r="AV124" s="12">
        <v>1</v>
      </c>
      <c r="AW124" s="12">
        <v>126</v>
      </c>
      <c r="AX124" s="12">
        <v>1</v>
      </c>
      <c r="AY124" s="12">
        <v>108</v>
      </c>
    </row>
    <row r="125" spans="1:51" hidden="1" x14ac:dyDescent="0.3">
      <c r="A125" s="4"/>
      <c r="B125" s="32">
        <v>2</v>
      </c>
      <c r="C125" s="33">
        <v>53</v>
      </c>
      <c r="D125" s="14" t="s">
        <v>448</v>
      </c>
      <c r="E125" s="33" t="s">
        <v>316</v>
      </c>
      <c r="F125" s="5" t="s">
        <v>317</v>
      </c>
      <c r="G125" s="33" t="s">
        <v>316</v>
      </c>
      <c r="H125" s="71">
        <v>425332.40921100002</v>
      </c>
      <c r="I125" s="71">
        <v>6771500.6760029998</v>
      </c>
      <c r="J125" s="4"/>
      <c r="K125" s="28" t="s">
        <v>67</v>
      </c>
      <c r="L125" s="38">
        <v>0</v>
      </c>
      <c r="M125" s="34">
        <v>0</v>
      </c>
      <c r="N125" s="34">
        <v>1</v>
      </c>
      <c r="O125" s="39">
        <v>1</v>
      </c>
      <c r="P125" s="5"/>
      <c r="Q125" s="5"/>
      <c r="R125" s="76" t="s">
        <v>450</v>
      </c>
      <c r="S125" s="4" t="s">
        <v>433</v>
      </c>
      <c r="T125" s="28" t="s">
        <v>431</v>
      </c>
      <c r="U125" s="28" t="s">
        <v>78</v>
      </c>
      <c r="V125" s="28">
        <v>2</v>
      </c>
      <c r="W125" s="4"/>
      <c r="X125" s="12">
        <v>1</v>
      </c>
      <c r="Y125" s="4"/>
      <c r="Z125" s="4">
        <v>1</v>
      </c>
      <c r="AA125" s="4"/>
      <c r="AB125" s="4"/>
      <c r="AC125" s="4"/>
      <c r="AD125" s="4"/>
      <c r="AE125" s="4"/>
      <c r="AF125" s="4"/>
      <c r="AG125" s="4"/>
      <c r="AH125" s="4"/>
      <c r="AI125" s="4"/>
      <c r="AJ125" s="12">
        <v>1</v>
      </c>
      <c r="AK125" s="12">
        <v>1260</v>
      </c>
      <c r="AL125" s="4"/>
      <c r="AM125" s="4"/>
      <c r="AN125" s="4"/>
      <c r="AO125" s="4"/>
      <c r="AP125" s="4"/>
      <c r="AQ125" s="4"/>
      <c r="AR125" s="4"/>
      <c r="AS125" s="4"/>
      <c r="AT125" s="12">
        <v>1</v>
      </c>
      <c r="AU125" s="12">
        <v>12</v>
      </c>
      <c r="AV125" s="12">
        <v>1</v>
      </c>
      <c r="AW125" s="12">
        <v>126</v>
      </c>
      <c r="AX125" s="12">
        <v>1</v>
      </c>
      <c r="AY125" s="12">
        <v>108</v>
      </c>
    </row>
    <row r="126" spans="1:51" x14ac:dyDescent="0.3">
      <c r="A126" s="4"/>
      <c r="B126" s="32">
        <v>2</v>
      </c>
      <c r="C126" s="33">
        <v>53</v>
      </c>
      <c r="D126" s="5" t="s">
        <v>441</v>
      </c>
      <c r="E126" s="33" t="s">
        <v>318</v>
      </c>
      <c r="F126" s="5" t="s">
        <v>319</v>
      </c>
      <c r="G126" s="33" t="s">
        <v>318</v>
      </c>
      <c r="H126" s="71">
        <v>404359.17564199999</v>
      </c>
      <c r="I126" s="71">
        <v>6754469.3904149998</v>
      </c>
      <c r="J126" s="4"/>
      <c r="K126" s="28" t="s">
        <v>67</v>
      </c>
      <c r="L126" s="38">
        <v>0</v>
      </c>
      <c r="M126" s="34">
        <v>0</v>
      </c>
      <c r="N126" s="34">
        <v>1</v>
      </c>
      <c r="O126" s="39">
        <v>1</v>
      </c>
      <c r="P126" s="5"/>
      <c r="Q126" s="5"/>
      <c r="R126" s="14" t="s">
        <v>9</v>
      </c>
      <c r="S126" s="4" t="s">
        <v>433</v>
      </c>
      <c r="T126" s="28" t="s">
        <v>77</v>
      </c>
      <c r="U126" s="28" t="s">
        <v>79</v>
      </c>
      <c r="V126" s="28">
        <v>1</v>
      </c>
      <c r="W126" s="4"/>
      <c r="X126" s="12">
        <v>1</v>
      </c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>
        <v>1</v>
      </c>
      <c r="AM126" s="4">
        <v>1200</v>
      </c>
      <c r="AN126" s="4"/>
      <c r="AO126" s="4"/>
      <c r="AP126" s="4"/>
      <c r="AQ126" s="4"/>
      <c r="AR126" s="4"/>
      <c r="AS126" s="4"/>
      <c r="AT126" s="12">
        <v>1</v>
      </c>
      <c r="AU126" s="12">
        <v>12</v>
      </c>
      <c r="AV126" s="12">
        <v>1</v>
      </c>
      <c r="AW126" s="12">
        <v>126</v>
      </c>
      <c r="AX126" s="12">
        <v>1</v>
      </c>
      <c r="AY126" s="12">
        <v>108</v>
      </c>
    </row>
    <row r="127" spans="1:51" hidden="1" x14ac:dyDescent="0.3">
      <c r="A127" s="4"/>
      <c r="B127" s="32">
        <v>2</v>
      </c>
      <c r="C127" s="33">
        <v>53</v>
      </c>
      <c r="D127" s="5" t="s">
        <v>441</v>
      </c>
      <c r="E127" s="33" t="s">
        <v>320</v>
      </c>
      <c r="F127" s="5" t="s">
        <v>321</v>
      </c>
      <c r="G127" s="33" t="s">
        <v>320</v>
      </c>
      <c r="H127" s="71">
        <v>449323.352304</v>
      </c>
      <c r="I127" s="71">
        <v>6803675.6556630004</v>
      </c>
      <c r="J127" s="4"/>
      <c r="K127" s="28" t="s">
        <v>68</v>
      </c>
      <c r="L127" s="38">
        <v>0</v>
      </c>
      <c r="M127" s="34">
        <v>0</v>
      </c>
      <c r="N127" s="34">
        <v>1</v>
      </c>
      <c r="O127" s="39">
        <v>1</v>
      </c>
      <c r="P127" s="5"/>
      <c r="Q127" s="5"/>
      <c r="R127" s="14" t="s">
        <v>9</v>
      </c>
      <c r="S127" s="4" t="s">
        <v>433</v>
      </c>
      <c r="T127" s="28" t="s">
        <v>431</v>
      </c>
      <c r="U127" s="28" t="s">
        <v>78</v>
      </c>
      <c r="V127" s="28">
        <v>1</v>
      </c>
      <c r="W127" s="12">
        <v>1</v>
      </c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>
        <v>1</v>
      </c>
      <c r="AI127" s="4">
        <v>768</v>
      </c>
      <c r="AJ127" s="4"/>
      <c r="AK127" s="4"/>
      <c r="AL127" s="4"/>
      <c r="AM127" s="55"/>
      <c r="AN127" s="4"/>
      <c r="AO127" s="4"/>
      <c r="AP127" s="4"/>
      <c r="AQ127" s="4"/>
      <c r="AR127" s="4"/>
      <c r="AS127" s="4"/>
      <c r="AT127" s="12"/>
      <c r="AU127" s="12">
        <v>12</v>
      </c>
      <c r="AV127" s="12"/>
      <c r="AW127" s="12">
        <v>126</v>
      </c>
      <c r="AX127" s="12"/>
      <c r="AY127" s="12">
        <v>108</v>
      </c>
    </row>
    <row r="128" spans="1:51" hidden="1" x14ac:dyDescent="0.3">
      <c r="A128" s="4"/>
      <c r="B128" s="32">
        <v>2</v>
      </c>
      <c r="C128" s="33">
        <v>53</v>
      </c>
      <c r="D128" s="14" t="s">
        <v>448</v>
      </c>
      <c r="E128" s="33" t="s">
        <v>322</v>
      </c>
      <c r="F128" s="5" t="s">
        <v>323</v>
      </c>
      <c r="G128" s="33" t="s">
        <v>322</v>
      </c>
      <c r="H128" s="71">
        <v>445127.249595</v>
      </c>
      <c r="I128" s="71">
        <v>6806841.0984650003</v>
      </c>
      <c r="J128" s="4"/>
      <c r="K128" s="28" t="s">
        <v>68</v>
      </c>
      <c r="L128" s="38">
        <v>0</v>
      </c>
      <c r="M128" s="34">
        <v>0</v>
      </c>
      <c r="N128" s="34">
        <v>1</v>
      </c>
      <c r="O128" s="39">
        <v>1</v>
      </c>
      <c r="P128" s="5"/>
      <c r="Q128" s="5"/>
      <c r="R128" s="82" t="s">
        <v>450</v>
      </c>
      <c r="S128" s="4" t="s">
        <v>433</v>
      </c>
      <c r="T128" s="28" t="s">
        <v>431</v>
      </c>
      <c r="U128" s="28" t="s">
        <v>78</v>
      </c>
      <c r="V128" s="28">
        <v>2</v>
      </c>
      <c r="W128" s="12">
        <v>1</v>
      </c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>
        <v>1</v>
      </c>
      <c r="AK128" s="4">
        <v>1260</v>
      </c>
      <c r="AL128" s="4"/>
      <c r="AM128" s="4"/>
      <c r="AN128" s="4"/>
      <c r="AO128" s="4"/>
      <c r="AP128" s="4"/>
      <c r="AQ128" s="4"/>
      <c r="AR128" s="4"/>
      <c r="AS128" s="4"/>
      <c r="AT128" s="12"/>
      <c r="AU128" s="12">
        <v>12</v>
      </c>
      <c r="AV128" s="12"/>
      <c r="AW128" s="12">
        <v>126</v>
      </c>
      <c r="AX128" s="12"/>
      <c r="AY128" s="12">
        <v>108</v>
      </c>
    </row>
    <row r="129" spans="1:51" hidden="1" x14ac:dyDescent="0.3">
      <c r="A129" s="4"/>
      <c r="B129" s="32">
        <v>2</v>
      </c>
      <c r="C129" s="33">
        <v>53</v>
      </c>
      <c r="D129" s="77" t="s">
        <v>448</v>
      </c>
      <c r="E129" s="33" t="s">
        <v>324</v>
      </c>
      <c r="F129" s="5" t="s">
        <v>325</v>
      </c>
      <c r="G129" s="33" t="s">
        <v>324</v>
      </c>
      <c r="H129" s="71">
        <v>462245.142589</v>
      </c>
      <c r="I129" s="71">
        <v>6801663.4200940002</v>
      </c>
      <c r="J129" s="4"/>
      <c r="K129" s="28" t="s">
        <v>428</v>
      </c>
      <c r="L129" s="38">
        <v>1</v>
      </c>
      <c r="M129" s="34">
        <v>1</v>
      </c>
      <c r="N129" s="34">
        <v>1</v>
      </c>
      <c r="O129" s="39">
        <v>0</v>
      </c>
      <c r="P129" s="5"/>
      <c r="Q129" s="5"/>
      <c r="R129" s="76" t="s">
        <v>450</v>
      </c>
      <c r="S129" s="4" t="s">
        <v>433</v>
      </c>
      <c r="T129" s="28" t="s">
        <v>431</v>
      </c>
      <c r="U129" s="28" t="s">
        <v>78</v>
      </c>
      <c r="V129" s="28">
        <v>2</v>
      </c>
      <c r="W129" s="12">
        <v>1</v>
      </c>
      <c r="X129" s="12">
        <v>1</v>
      </c>
      <c r="Y129" s="4"/>
      <c r="Z129" s="4">
        <v>1</v>
      </c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12"/>
      <c r="AW129" s="4"/>
      <c r="AX129" s="12"/>
      <c r="AY129" s="4"/>
    </row>
    <row r="130" spans="1:51" hidden="1" x14ac:dyDescent="0.3">
      <c r="A130" s="4"/>
      <c r="B130" s="32">
        <v>2</v>
      </c>
      <c r="C130" s="33">
        <v>53</v>
      </c>
      <c r="D130" s="77" t="s">
        <v>448</v>
      </c>
      <c r="E130" s="33" t="s">
        <v>326</v>
      </c>
      <c r="F130" s="5" t="s">
        <v>327</v>
      </c>
      <c r="G130" s="33" t="s">
        <v>326</v>
      </c>
      <c r="H130" s="71">
        <v>424110</v>
      </c>
      <c r="I130" s="71">
        <v>6760873.9997979999</v>
      </c>
      <c r="J130" s="4"/>
      <c r="K130" s="28" t="s">
        <v>428</v>
      </c>
      <c r="L130" s="38">
        <v>1</v>
      </c>
      <c r="M130" s="34">
        <v>0</v>
      </c>
      <c r="N130" s="34">
        <v>1</v>
      </c>
      <c r="O130" s="39">
        <v>1</v>
      </c>
      <c r="P130" s="5"/>
      <c r="Q130" s="5"/>
      <c r="R130" s="76" t="s">
        <v>450</v>
      </c>
      <c r="S130" s="4" t="s">
        <v>433</v>
      </c>
      <c r="T130" s="28" t="s">
        <v>77</v>
      </c>
      <c r="U130" s="28" t="s">
        <v>79</v>
      </c>
      <c r="V130" s="28">
        <v>1</v>
      </c>
      <c r="W130" s="12">
        <v>1</v>
      </c>
      <c r="X130" s="12">
        <v>1</v>
      </c>
      <c r="Y130" s="4"/>
      <c r="Z130" s="4">
        <v>1</v>
      </c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12"/>
      <c r="AW130" s="4"/>
      <c r="AX130" s="12"/>
      <c r="AY130" s="4"/>
    </row>
    <row r="131" spans="1:51" hidden="1" x14ac:dyDescent="0.3">
      <c r="A131" s="4"/>
      <c r="B131" s="32">
        <v>2</v>
      </c>
      <c r="C131" s="33">
        <v>53</v>
      </c>
      <c r="D131" s="77" t="s">
        <v>448</v>
      </c>
      <c r="E131" s="33" t="s">
        <v>328</v>
      </c>
      <c r="F131" s="5" t="s">
        <v>329</v>
      </c>
      <c r="G131" s="33" t="s">
        <v>328</v>
      </c>
      <c r="H131" s="71">
        <v>449521.00020000001</v>
      </c>
      <c r="I131" s="71">
        <v>6781330.9997979999</v>
      </c>
      <c r="J131" s="4"/>
      <c r="K131" s="28" t="s">
        <v>428</v>
      </c>
      <c r="L131" s="38">
        <v>0</v>
      </c>
      <c r="M131" s="34">
        <v>1</v>
      </c>
      <c r="N131" s="34">
        <v>1</v>
      </c>
      <c r="O131" s="39">
        <v>1</v>
      </c>
      <c r="P131" s="12">
        <v>0</v>
      </c>
      <c r="Q131" s="5" t="s">
        <v>436</v>
      </c>
      <c r="R131" s="76" t="s">
        <v>450</v>
      </c>
      <c r="S131" s="4" t="s">
        <v>433</v>
      </c>
      <c r="T131" s="28" t="s">
        <v>431</v>
      </c>
      <c r="U131" s="28" t="s">
        <v>78</v>
      </c>
      <c r="V131" s="28">
        <v>2</v>
      </c>
      <c r="W131" s="12">
        <v>1</v>
      </c>
      <c r="X131" s="12">
        <v>1</v>
      </c>
      <c r="Y131" s="4"/>
      <c r="Z131" s="4">
        <v>1</v>
      </c>
      <c r="AA131" s="4"/>
      <c r="AB131" s="4">
        <v>1</v>
      </c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12"/>
      <c r="AW131" s="4"/>
      <c r="AX131" s="12"/>
      <c r="AY131" s="4"/>
    </row>
    <row r="132" spans="1:51" x14ac:dyDescent="0.3">
      <c r="A132" s="4"/>
      <c r="B132" s="32">
        <v>2</v>
      </c>
      <c r="C132" s="33">
        <v>53</v>
      </c>
      <c r="D132" s="5" t="s">
        <v>441</v>
      </c>
      <c r="E132" s="33" t="s">
        <v>330</v>
      </c>
      <c r="F132" s="5" t="s">
        <v>331</v>
      </c>
      <c r="G132" s="33" t="s">
        <v>330</v>
      </c>
      <c r="H132" s="71">
        <v>407541</v>
      </c>
      <c r="I132" s="71">
        <v>6810431.9999980005</v>
      </c>
      <c r="J132" s="4"/>
      <c r="K132" s="28" t="s">
        <v>67</v>
      </c>
      <c r="L132" s="38">
        <v>0</v>
      </c>
      <c r="M132" s="34">
        <v>0</v>
      </c>
      <c r="N132" s="34">
        <v>1</v>
      </c>
      <c r="O132" s="39">
        <v>1</v>
      </c>
      <c r="P132" s="5"/>
      <c r="Q132" s="5"/>
      <c r="R132" s="14" t="s">
        <v>9</v>
      </c>
      <c r="S132" s="4" t="s">
        <v>433</v>
      </c>
      <c r="T132" s="28" t="s">
        <v>431</v>
      </c>
      <c r="U132" s="28" t="s">
        <v>78</v>
      </c>
      <c r="V132" s="28">
        <v>2</v>
      </c>
      <c r="W132" s="4"/>
      <c r="X132" s="12">
        <v>1</v>
      </c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12">
        <v>1</v>
      </c>
      <c r="AK132" s="12">
        <v>1260</v>
      </c>
      <c r="AL132" s="4"/>
      <c r="AM132" s="4"/>
      <c r="AN132" s="4"/>
      <c r="AO132" s="4"/>
      <c r="AP132" s="4"/>
      <c r="AQ132" s="4"/>
      <c r="AR132" s="4"/>
      <c r="AS132" s="4"/>
      <c r="AT132" s="12">
        <v>1</v>
      </c>
      <c r="AU132" s="12">
        <v>12</v>
      </c>
      <c r="AV132" s="12">
        <v>1</v>
      </c>
      <c r="AW132" s="12">
        <v>126</v>
      </c>
      <c r="AX132" s="12">
        <v>1</v>
      </c>
      <c r="AY132" s="12">
        <v>108</v>
      </c>
    </row>
    <row r="133" spans="1:51" hidden="1" x14ac:dyDescent="0.3">
      <c r="A133" s="4"/>
      <c r="B133" s="32">
        <v>2</v>
      </c>
      <c r="C133" s="33">
        <v>53</v>
      </c>
      <c r="D133" s="5" t="s">
        <v>441</v>
      </c>
      <c r="E133" s="33" t="s">
        <v>332</v>
      </c>
      <c r="F133" s="5" t="s">
        <v>333</v>
      </c>
      <c r="G133" s="33" t="s">
        <v>332</v>
      </c>
      <c r="H133" s="71">
        <v>406812</v>
      </c>
      <c r="I133" s="71">
        <v>6750514.9997979999</v>
      </c>
      <c r="J133" s="4"/>
      <c r="K133" s="28" t="s">
        <v>68</v>
      </c>
      <c r="L133" s="38">
        <v>0</v>
      </c>
      <c r="M133" s="34">
        <v>0</v>
      </c>
      <c r="N133" s="34">
        <v>1</v>
      </c>
      <c r="O133" s="39">
        <v>0</v>
      </c>
      <c r="P133" s="5"/>
      <c r="Q133" s="5"/>
      <c r="R133" s="14" t="s">
        <v>9</v>
      </c>
      <c r="S133" s="4" t="s">
        <v>434</v>
      </c>
      <c r="T133" s="28" t="s">
        <v>77</v>
      </c>
      <c r="U133" s="31" t="s">
        <v>78</v>
      </c>
      <c r="V133" s="28">
        <v>1</v>
      </c>
      <c r="W133" s="12">
        <v>1</v>
      </c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>
        <v>1</v>
      </c>
      <c r="AI133" s="4">
        <v>768</v>
      </c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12"/>
      <c r="AU133" s="12">
        <v>12</v>
      </c>
      <c r="AV133" s="12"/>
      <c r="AW133" s="12">
        <v>126</v>
      </c>
      <c r="AX133" s="12"/>
      <c r="AY133" s="12">
        <v>108</v>
      </c>
    </row>
    <row r="134" spans="1:51" hidden="1" x14ac:dyDescent="0.3">
      <c r="A134" s="4"/>
      <c r="B134" s="32">
        <v>2</v>
      </c>
      <c r="C134" s="33">
        <v>53</v>
      </c>
      <c r="D134" s="5" t="s">
        <v>441</v>
      </c>
      <c r="E134" s="33" t="s">
        <v>334</v>
      </c>
      <c r="F134" s="5" t="s">
        <v>335</v>
      </c>
      <c r="G134" s="33" t="s">
        <v>334</v>
      </c>
      <c r="H134" s="71">
        <v>429586.331045</v>
      </c>
      <c r="I134" s="71">
        <v>6825020.4144609999</v>
      </c>
      <c r="J134" s="4"/>
      <c r="K134" s="28" t="s">
        <v>68</v>
      </c>
      <c r="L134" s="38">
        <v>0</v>
      </c>
      <c r="M134" s="34">
        <v>0</v>
      </c>
      <c r="N134" s="34">
        <v>1</v>
      </c>
      <c r="O134" s="39">
        <v>0</v>
      </c>
      <c r="P134" s="5"/>
      <c r="Q134" s="5"/>
      <c r="R134" s="14" t="s">
        <v>9</v>
      </c>
      <c r="S134" s="4" t="s">
        <v>433</v>
      </c>
      <c r="T134" s="28" t="s">
        <v>77</v>
      </c>
      <c r="U134" s="70" t="s">
        <v>78</v>
      </c>
      <c r="V134" s="28">
        <v>1</v>
      </c>
      <c r="W134" s="12">
        <v>1</v>
      </c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>
        <v>1</v>
      </c>
      <c r="AI134" s="4">
        <v>768</v>
      </c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12"/>
      <c r="AU134" s="12">
        <v>12</v>
      </c>
      <c r="AV134" s="12"/>
      <c r="AW134" s="12">
        <v>126</v>
      </c>
      <c r="AX134" s="12"/>
      <c r="AY134" s="12">
        <v>108</v>
      </c>
    </row>
    <row r="135" spans="1:51" hidden="1" x14ac:dyDescent="0.3">
      <c r="A135" s="4"/>
      <c r="B135" s="32">
        <v>2</v>
      </c>
      <c r="C135" s="33">
        <v>53</v>
      </c>
      <c r="D135" s="5" t="s">
        <v>441</v>
      </c>
      <c r="E135" s="33" t="s">
        <v>336</v>
      </c>
      <c r="F135" s="5" t="s">
        <v>337</v>
      </c>
      <c r="G135" s="33" t="s">
        <v>336</v>
      </c>
      <c r="H135" s="71">
        <v>429051</v>
      </c>
      <c r="I135" s="71">
        <v>6800951.9999980005</v>
      </c>
      <c r="J135" s="4"/>
      <c r="K135" s="28" t="s">
        <v>68</v>
      </c>
      <c r="L135" s="38">
        <v>0</v>
      </c>
      <c r="M135" s="34">
        <v>0</v>
      </c>
      <c r="N135" s="34">
        <v>1</v>
      </c>
      <c r="O135" s="39">
        <v>1</v>
      </c>
      <c r="P135" s="5"/>
      <c r="Q135" s="5"/>
      <c r="R135" s="14" t="s">
        <v>9</v>
      </c>
      <c r="S135" s="4" t="s">
        <v>433</v>
      </c>
      <c r="T135" s="28" t="s">
        <v>77</v>
      </c>
      <c r="U135" s="28" t="s">
        <v>79</v>
      </c>
      <c r="V135" s="28">
        <v>1</v>
      </c>
      <c r="W135" s="12">
        <v>1</v>
      </c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>
        <v>1</v>
      </c>
      <c r="AM135" s="4">
        <v>1200</v>
      </c>
      <c r="AN135" s="4"/>
      <c r="AO135" s="4"/>
      <c r="AP135" s="4"/>
      <c r="AQ135" s="4"/>
      <c r="AR135" s="4"/>
      <c r="AS135" s="4"/>
      <c r="AT135" s="12"/>
      <c r="AU135" s="12">
        <v>12</v>
      </c>
      <c r="AV135" s="12"/>
      <c r="AW135" s="12">
        <v>126</v>
      </c>
      <c r="AX135" s="12"/>
      <c r="AY135" s="12">
        <v>108</v>
      </c>
    </row>
    <row r="136" spans="1:51" hidden="1" x14ac:dyDescent="0.3">
      <c r="A136" s="4"/>
      <c r="B136" s="32">
        <v>2</v>
      </c>
      <c r="C136" s="33">
        <v>53</v>
      </c>
      <c r="D136" s="14" t="s">
        <v>448</v>
      </c>
      <c r="E136" s="33" t="s">
        <v>338</v>
      </c>
      <c r="F136" s="5" t="s">
        <v>339</v>
      </c>
      <c r="G136" s="33" t="s">
        <v>338</v>
      </c>
      <c r="H136" s="71">
        <v>399038.13574300002</v>
      </c>
      <c r="I136" s="71">
        <v>6795290.0586949997</v>
      </c>
      <c r="J136" s="4"/>
      <c r="K136" s="28" t="s">
        <v>68</v>
      </c>
      <c r="L136" s="38">
        <v>0</v>
      </c>
      <c r="M136" s="34">
        <v>0</v>
      </c>
      <c r="N136" s="34">
        <v>1</v>
      </c>
      <c r="O136" s="39">
        <v>1</v>
      </c>
      <c r="P136" s="5"/>
      <c r="Q136" s="5"/>
      <c r="R136" s="82" t="s">
        <v>450</v>
      </c>
      <c r="S136" s="4" t="s">
        <v>433</v>
      </c>
      <c r="T136" s="28" t="s">
        <v>431</v>
      </c>
      <c r="U136" s="28" t="s">
        <v>78</v>
      </c>
      <c r="V136" s="28">
        <v>2</v>
      </c>
      <c r="W136" s="12">
        <v>1</v>
      </c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>
        <v>1</v>
      </c>
      <c r="AK136" s="4">
        <v>1260</v>
      </c>
      <c r="AL136" s="4"/>
      <c r="AM136" s="4"/>
      <c r="AN136" s="4"/>
      <c r="AO136" s="4"/>
      <c r="AP136" s="4"/>
      <c r="AQ136" s="4"/>
      <c r="AR136" s="4"/>
      <c r="AS136" s="4"/>
      <c r="AT136" s="12"/>
      <c r="AU136" s="12">
        <v>12</v>
      </c>
      <c r="AV136" s="12"/>
      <c r="AW136" s="12">
        <v>126</v>
      </c>
      <c r="AX136" s="12"/>
      <c r="AY136" s="12">
        <v>108</v>
      </c>
    </row>
    <row r="137" spans="1:51" x14ac:dyDescent="0.3">
      <c r="A137" s="4"/>
      <c r="B137" s="32">
        <v>2</v>
      </c>
      <c r="C137" s="33">
        <v>53</v>
      </c>
      <c r="D137" s="5" t="s">
        <v>441</v>
      </c>
      <c r="E137" s="33" t="s">
        <v>340</v>
      </c>
      <c r="F137" s="5" t="s">
        <v>341</v>
      </c>
      <c r="G137" s="33" t="s">
        <v>340</v>
      </c>
      <c r="H137" s="71">
        <v>434821.99979999999</v>
      </c>
      <c r="I137" s="71">
        <v>6820309.9997979999</v>
      </c>
      <c r="J137" s="4"/>
      <c r="K137" s="28" t="s">
        <v>67</v>
      </c>
      <c r="L137" s="38">
        <v>0</v>
      </c>
      <c r="M137" s="34">
        <v>0</v>
      </c>
      <c r="N137" s="34">
        <v>1</v>
      </c>
      <c r="O137" s="39">
        <v>0</v>
      </c>
      <c r="P137" s="12">
        <v>1</v>
      </c>
      <c r="Q137" s="5" t="s">
        <v>436</v>
      </c>
      <c r="R137" s="14" t="s">
        <v>9</v>
      </c>
      <c r="S137" s="4" t="s">
        <v>433</v>
      </c>
      <c r="T137" s="28" t="s">
        <v>77</v>
      </c>
      <c r="U137" s="28" t="s">
        <v>79</v>
      </c>
      <c r="V137" s="28">
        <v>1</v>
      </c>
      <c r="W137" s="4"/>
      <c r="X137" s="12">
        <v>1</v>
      </c>
      <c r="Y137" s="4"/>
      <c r="Z137" s="4"/>
      <c r="AA137" s="4"/>
      <c r="AB137" s="81">
        <v>1</v>
      </c>
      <c r="AC137" s="4"/>
      <c r="AD137" s="4">
        <v>1</v>
      </c>
      <c r="AE137" s="4"/>
      <c r="AF137" s="4"/>
      <c r="AG137" s="4"/>
      <c r="AH137" s="4"/>
      <c r="AI137" s="4"/>
      <c r="AJ137" s="4"/>
      <c r="AK137" s="4"/>
      <c r="AL137" s="4">
        <v>1</v>
      </c>
      <c r="AM137" s="4">
        <v>1200</v>
      </c>
      <c r="AN137" s="4"/>
      <c r="AO137" s="4"/>
      <c r="AP137" s="4"/>
      <c r="AQ137" s="4"/>
      <c r="AR137" s="4">
        <v>1</v>
      </c>
      <c r="AS137" s="4">
        <v>240</v>
      </c>
      <c r="AT137" s="12">
        <v>1</v>
      </c>
      <c r="AU137" s="12">
        <v>12</v>
      </c>
      <c r="AV137" s="12">
        <v>1</v>
      </c>
      <c r="AW137" s="12">
        <v>126</v>
      </c>
      <c r="AX137" s="12">
        <v>1</v>
      </c>
      <c r="AY137" s="12">
        <v>108</v>
      </c>
    </row>
    <row r="138" spans="1:51" hidden="1" x14ac:dyDescent="0.3">
      <c r="A138" s="4"/>
      <c r="B138" s="32">
        <v>2</v>
      </c>
      <c r="C138" s="33">
        <v>53</v>
      </c>
      <c r="D138" s="77" t="s">
        <v>448</v>
      </c>
      <c r="E138" s="33" t="s">
        <v>342</v>
      </c>
      <c r="F138" s="5" t="s">
        <v>343</v>
      </c>
      <c r="G138" s="33" t="s">
        <v>342</v>
      </c>
      <c r="H138" s="71">
        <v>426305.92888800002</v>
      </c>
      <c r="I138" s="71">
        <v>6778641.0179479998</v>
      </c>
      <c r="J138" s="4"/>
      <c r="K138" s="28" t="s">
        <v>67</v>
      </c>
      <c r="L138" s="38">
        <v>0</v>
      </c>
      <c r="M138" s="34">
        <v>0</v>
      </c>
      <c r="N138" s="34">
        <v>1</v>
      </c>
      <c r="O138" s="39">
        <v>1</v>
      </c>
      <c r="P138" s="5"/>
      <c r="Q138" s="5"/>
      <c r="R138" s="76" t="s">
        <v>450</v>
      </c>
      <c r="S138" s="4" t="s">
        <v>433</v>
      </c>
      <c r="T138" s="28" t="s">
        <v>77</v>
      </c>
      <c r="U138" s="28" t="s">
        <v>78</v>
      </c>
      <c r="V138" s="28">
        <v>1</v>
      </c>
      <c r="W138" s="4"/>
      <c r="X138" s="12">
        <v>1</v>
      </c>
      <c r="Y138" s="4"/>
      <c r="Z138" s="4"/>
      <c r="AA138" s="4"/>
      <c r="AB138" s="4"/>
      <c r="AC138" s="4"/>
      <c r="AD138" s="4"/>
      <c r="AE138" s="4"/>
      <c r="AF138" s="4"/>
      <c r="AG138" s="4"/>
      <c r="AH138" s="4">
        <v>1</v>
      </c>
      <c r="AI138" s="4">
        <v>768</v>
      </c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12">
        <v>1</v>
      </c>
      <c r="AU138" s="12">
        <v>12</v>
      </c>
      <c r="AV138" s="12">
        <v>1</v>
      </c>
      <c r="AW138" s="12">
        <v>126</v>
      </c>
      <c r="AX138" s="12">
        <v>1</v>
      </c>
      <c r="AY138" s="12">
        <v>108</v>
      </c>
    </row>
    <row r="139" spans="1:51" x14ac:dyDescent="0.3">
      <c r="A139" s="4"/>
      <c r="B139" s="32">
        <v>2</v>
      </c>
      <c r="C139" s="33">
        <v>72</v>
      </c>
      <c r="D139" s="14" t="s">
        <v>445</v>
      </c>
      <c r="E139" s="33" t="s">
        <v>344</v>
      </c>
      <c r="F139" s="5" t="s">
        <v>345</v>
      </c>
      <c r="G139" s="33" t="s">
        <v>344</v>
      </c>
      <c r="H139" s="71">
        <v>526579.99979999999</v>
      </c>
      <c r="I139" s="71">
        <v>6793499.9999980005</v>
      </c>
      <c r="J139" s="4"/>
      <c r="K139" s="28" t="s">
        <v>428</v>
      </c>
      <c r="L139" s="38">
        <v>0</v>
      </c>
      <c r="M139" s="34">
        <v>1</v>
      </c>
      <c r="N139" s="34">
        <v>1</v>
      </c>
      <c r="O139" s="39">
        <v>1</v>
      </c>
      <c r="P139" s="5"/>
      <c r="Q139" s="5"/>
      <c r="R139" s="83" t="s">
        <v>9</v>
      </c>
      <c r="S139" s="4" t="s">
        <v>433</v>
      </c>
      <c r="T139" s="28" t="s">
        <v>77</v>
      </c>
      <c r="U139" s="28" t="s">
        <v>429</v>
      </c>
      <c r="V139" s="28">
        <v>1</v>
      </c>
      <c r="W139" s="12">
        <v>1</v>
      </c>
      <c r="X139" s="12">
        <v>1</v>
      </c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12"/>
      <c r="AW139" s="4"/>
      <c r="AX139" s="12"/>
      <c r="AY139" s="4"/>
    </row>
    <row r="140" spans="1:51" hidden="1" x14ac:dyDescent="0.3">
      <c r="A140" s="4"/>
      <c r="B140" s="32">
        <v>2</v>
      </c>
      <c r="C140" s="33">
        <v>72</v>
      </c>
      <c r="D140" s="14" t="s">
        <v>448</v>
      </c>
      <c r="E140" s="33" t="s">
        <v>346</v>
      </c>
      <c r="F140" s="5" t="s">
        <v>347</v>
      </c>
      <c r="G140" s="33" t="s">
        <v>346</v>
      </c>
      <c r="H140" s="71">
        <v>463488</v>
      </c>
      <c r="I140" s="71">
        <v>6753632</v>
      </c>
      <c r="J140" s="4"/>
      <c r="K140" s="28" t="s">
        <v>428</v>
      </c>
      <c r="L140" s="38">
        <v>1</v>
      </c>
      <c r="M140" s="34">
        <v>0</v>
      </c>
      <c r="N140" s="34">
        <v>0</v>
      </c>
      <c r="O140" s="39">
        <v>1</v>
      </c>
      <c r="P140" s="5"/>
      <c r="Q140" s="5"/>
      <c r="R140" s="76" t="s">
        <v>450</v>
      </c>
      <c r="S140" s="4" t="s">
        <v>433</v>
      </c>
      <c r="T140" s="28" t="s">
        <v>77</v>
      </c>
      <c r="U140" s="28" t="s">
        <v>79</v>
      </c>
      <c r="V140" s="28">
        <v>1</v>
      </c>
      <c r="W140" s="12">
        <v>1</v>
      </c>
      <c r="X140" s="12">
        <v>1</v>
      </c>
      <c r="Y140" s="4"/>
      <c r="Z140" s="4">
        <v>1</v>
      </c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12"/>
      <c r="AY140" s="4"/>
    </row>
    <row r="141" spans="1:51" x14ac:dyDescent="0.3">
      <c r="A141" s="4"/>
      <c r="B141" s="32">
        <v>2</v>
      </c>
      <c r="C141" s="33">
        <v>72</v>
      </c>
      <c r="D141" s="5" t="s">
        <v>441</v>
      </c>
      <c r="E141" s="33" t="s">
        <v>348</v>
      </c>
      <c r="F141" s="5" t="s">
        <v>349</v>
      </c>
      <c r="G141" s="33" t="s">
        <v>348</v>
      </c>
      <c r="H141" s="71">
        <v>468262.99979999999</v>
      </c>
      <c r="I141" s="71">
        <v>6774575.9999980005</v>
      </c>
      <c r="J141" s="4"/>
      <c r="K141" s="28" t="s">
        <v>67</v>
      </c>
      <c r="L141" s="38">
        <v>0</v>
      </c>
      <c r="M141" s="34">
        <v>0</v>
      </c>
      <c r="N141" s="34">
        <v>1</v>
      </c>
      <c r="O141" s="39">
        <v>0</v>
      </c>
      <c r="P141" s="5"/>
      <c r="Q141" s="5"/>
      <c r="R141" s="14" t="s">
        <v>9</v>
      </c>
      <c r="S141" s="4" t="s">
        <v>433</v>
      </c>
      <c r="T141" s="28" t="s">
        <v>431</v>
      </c>
      <c r="U141" s="28" t="s">
        <v>78</v>
      </c>
      <c r="V141" s="28">
        <v>2</v>
      </c>
      <c r="W141" s="4"/>
      <c r="X141" s="12">
        <v>1</v>
      </c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12">
        <v>1</v>
      </c>
      <c r="AK141" s="12">
        <v>1260</v>
      </c>
      <c r="AL141" s="4"/>
      <c r="AM141" s="4"/>
      <c r="AN141" s="4"/>
      <c r="AO141" s="4"/>
      <c r="AP141" s="4"/>
      <c r="AQ141" s="4"/>
      <c r="AR141" s="4"/>
      <c r="AS141" s="4"/>
      <c r="AT141" s="12">
        <v>1</v>
      </c>
      <c r="AU141" s="12">
        <v>12</v>
      </c>
      <c r="AV141" s="12">
        <v>1</v>
      </c>
      <c r="AW141" s="12">
        <v>126</v>
      </c>
      <c r="AX141" s="12">
        <v>1</v>
      </c>
      <c r="AY141" s="12">
        <v>108</v>
      </c>
    </row>
    <row r="142" spans="1:51" hidden="1" x14ac:dyDescent="0.3">
      <c r="A142" s="4"/>
      <c r="B142" s="32">
        <v>2</v>
      </c>
      <c r="C142" s="33">
        <v>72</v>
      </c>
      <c r="D142" s="77" t="s">
        <v>448</v>
      </c>
      <c r="E142" s="33" t="s">
        <v>350</v>
      </c>
      <c r="F142" s="5" t="s">
        <v>351</v>
      </c>
      <c r="G142" s="33" t="s">
        <v>350</v>
      </c>
      <c r="H142" s="71">
        <v>479869.03137300001</v>
      </c>
      <c r="I142" s="71">
        <v>6800859.9416410001</v>
      </c>
      <c r="J142" s="4"/>
      <c r="K142" s="28" t="s">
        <v>428</v>
      </c>
      <c r="L142" s="38">
        <v>1</v>
      </c>
      <c r="M142" s="34">
        <v>0</v>
      </c>
      <c r="N142" s="34">
        <v>1</v>
      </c>
      <c r="O142" s="40">
        <v>0</v>
      </c>
      <c r="P142" s="5"/>
      <c r="Q142" s="5"/>
      <c r="R142" s="76" t="s">
        <v>450</v>
      </c>
      <c r="S142" s="4" t="s">
        <v>433</v>
      </c>
      <c r="T142" s="28" t="s">
        <v>77</v>
      </c>
      <c r="U142" s="28" t="s">
        <v>78</v>
      </c>
      <c r="V142" s="28">
        <v>1</v>
      </c>
      <c r="W142" s="12">
        <v>1</v>
      </c>
      <c r="X142" s="12">
        <v>1</v>
      </c>
      <c r="Y142" s="4"/>
      <c r="Z142" s="4">
        <v>1</v>
      </c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</row>
    <row r="143" spans="1:51" hidden="1" x14ac:dyDescent="0.3">
      <c r="A143" s="4"/>
      <c r="B143" s="32">
        <v>2</v>
      </c>
      <c r="C143" s="33">
        <v>72</v>
      </c>
      <c r="D143" s="5" t="s">
        <v>441</v>
      </c>
      <c r="E143" s="33" t="s">
        <v>352</v>
      </c>
      <c r="F143" s="5" t="s">
        <v>353</v>
      </c>
      <c r="G143" s="33" t="s">
        <v>352</v>
      </c>
      <c r="H143" s="71">
        <v>495663</v>
      </c>
      <c r="I143" s="71">
        <v>6791282.9999980005</v>
      </c>
      <c r="J143" s="4"/>
      <c r="K143" s="28" t="s">
        <v>68</v>
      </c>
      <c r="L143" s="38">
        <v>0</v>
      </c>
      <c r="M143" s="34">
        <v>0</v>
      </c>
      <c r="N143" s="34">
        <v>1</v>
      </c>
      <c r="O143" s="39">
        <v>0</v>
      </c>
      <c r="P143" s="5"/>
      <c r="Q143" s="5"/>
      <c r="R143" s="14" t="s">
        <v>9</v>
      </c>
      <c r="S143" s="4" t="s">
        <v>433</v>
      </c>
      <c r="T143" s="28" t="s">
        <v>77</v>
      </c>
      <c r="U143" s="28" t="s">
        <v>78</v>
      </c>
      <c r="V143" s="28">
        <v>1</v>
      </c>
      <c r="W143" s="12">
        <v>1</v>
      </c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>
        <v>1</v>
      </c>
      <c r="AI143" s="4">
        <v>768</v>
      </c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12"/>
      <c r="AU143" s="12">
        <v>12</v>
      </c>
      <c r="AV143" s="12"/>
      <c r="AW143" s="12">
        <v>126</v>
      </c>
      <c r="AX143" s="12"/>
      <c r="AY143" s="12">
        <v>108</v>
      </c>
    </row>
    <row r="144" spans="1:51" x14ac:dyDescent="0.3">
      <c r="A144" s="4"/>
      <c r="B144" s="32">
        <v>2</v>
      </c>
      <c r="C144" s="33">
        <v>72</v>
      </c>
      <c r="D144" s="5" t="s">
        <v>441</v>
      </c>
      <c r="E144" s="33" t="s">
        <v>354</v>
      </c>
      <c r="F144" s="5" t="s">
        <v>355</v>
      </c>
      <c r="G144" s="33" t="s">
        <v>354</v>
      </c>
      <c r="H144" s="71">
        <v>522326.11116899998</v>
      </c>
      <c r="I144" s="71">
        <v>6759224.9660700001</v>
      </c>
      <c r="J144" s="4"/>
      <c r="K144" s="28" t="s">
        <v>67</v>
      </c>
      <c r="L144" s="38">
        <v>0</v>
      </c>
      <c r="M144" s="34">
        <v>0</v>
      </c>
      <c r="N144" s="34">
        <v>1</v>
      </c>
      <c r="O144" s="39">
        <v>1</v>
      </c>
      <c r="P144" s="5"/>
      <c r="Q144" s="5"/>
      <c r="R144" s="14" t="s">
        <v>9</v>
      </c>
      <c r="S144" s="4" t="s">
        <v>433</v>
      </c>
      <c r="T144" s="28" t="s">
        <v>431</v>
      </c>
      <c r="U144" s="28" t="s">
        <v>78</v>
      </c>
      <c r="V144" s="28">
        <v>1</v>
      </c>
      <c r="W144" s="4"/>
      <c r="X144" s="12">
        <v>1</v>
      </c>
      <c r="Y144" s="4"/>
      <c r="Z144" s="4"/>
      <c r="AA144" s="4"/>
      <c r="AB144" s="4"/>
      <c r="AC144" s="4"/>
      <c r="AD144" s="4"/>
      <c r="AE144" s="4"/>
      <c r="AF144" s="4"/>
      <c r="AG144" s="4"/>
      <c r="AH144" s="4">
        <v>1</v>
      </c>
      <c r="AI144" s="4">
        <v>768</v>
      </c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12">
        <v>1</v>
      </c>
      <c r="AU144" s="12">
        <v>12</v>
      </c>
      <c r="AV144" s="12">
        <v>1</v>
      </c>
      <c r="AW144" s="12">
        <v>126</v>
      </c>
      <c r="AX144" s="12">
        <v>1</v>
      </c>
      <c r="AY144" s="12">
        <v>108</v>
      </c>
    </row>
    <row r="145" spans="1:51" hidden="1" x14ac:dyDescent="0.3">
      <c r="A145" s="4"/>
      <c r="B145" s="32">
        <v>2</v>
      </c>
      <c r="C145" s="33">
        <v>72</v>
      </c>
      <c r="D145" s="5" t="s">
        <v>441</v>
      </c>
      <c r="E145" s="33" t="s">
        <v>356</v>
      </c>
      <c r="F145" s="5" t="s">
        <v>357</v>
      </c>
      <c r="G145" s="33" t="s">
        <v>356</v>
      </c>
      <c r="H145" s="71">
        <v>534386.23787099996</v>
      </c>
      <c r="I145" s="71">
        <v>6773382.4218070004</v>
      </c>
      <c r="J145" s="4"/>
      <c r="K145" s="28" t="s">
        <v>68</v>
      </c>
      <c r="L145" s="38">
        <v>0</v>
      </c>
      <c r="M145" s="34">
        <v>0</v>
      </c>
      <c r="N145" s="34">
        <v>1</v>
      </c>
      <c r="O145" s="39">
        <v>1</v>
      </c>
      <c r="P145" s="5"/>
      <c r="Q145" s="5"/>
      <c r="R145" s="14" t="s">
        <v>9</v>
      </c>
      <c r="S145" s="4" t="s">
        <v>433</v>
      </c>
      <c r="T145" s="28" t="s">
        <v>431</v>
      </c>
      <c r="U145" s="28" t="s">
        <v>78</v>
      </c>
      <c r="V145" s="28">
        <v>2</v>
      </c>
      <c r="W145" s="12">
        <v>1</v>
      </c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>
        <v>1</v>
      </c>
      <c r="AK145" s="4">
        <v>1260</v>
      </c>
      <c r="AL145" s="4"/>
      <c r="AM145" s="4"/>
      <c r="AN145" s="4"/>
      <c r="AO145" s="4"/>
      <c r="AP145" s="4"/>
      <c r="AQ145" s="4"/>
      <c r="AR145" s="4"/>
      <c r="AS145" s="4"/>
      <c r="AT145" s="12"/>
      <c r="AU145" s="12">
        <v>12</v>
      </c>
      <c r="AV145" s="12"/>
      <c r="AW145" s="12">
        <v>126</v>
      </c>
      <c r="AX145" s="12"/>
      <c r="AY145" s="12">
        <v>108</v>
      </c>
    </row>
    <row r="146" spans="1:51" hidden="1" x14ac:dyDescent="0.3">
      <c r="A146" s="4"/>
      <c r="B146" s="32">
        <v>2</v>
      </c>
      <c r="C146" s="33">
        <v>72</v>
      </c>
      <c r="D146" s="5" t="s">
        <v>441</v>
      </c>
      <c r="E146" s="33" t="s">
        <v>358</v>
      </c>
      <c r="F146" s="5" t="s">
        <v>359</v>
      </c>
      <c r="G146" s="33" t="s">
        <v>358</v>
      </c>
      <c r="H146" s="71">
        <v>493206</v>
      </c>
      <c r="I146" s="71">
        <v>6769157.9999980005</v>
      </c>
      <c r="J146" s="4"/>
      <c r="K146" s="28" t="s">
        <v>68</v>
      </c>
      <c r="L146" s="38">
        <v>0</v>
      </c>
      <c r="M146" s="34">
        <v>0</v>
      </c>
      <c r="N146" s="34">
        <v>1</v>
      </c>
      <c r="O146" s="39">
        <v>0</v>
      </c>
      <c r="P146" s="5"/>
      <c r="Q146" s="5"/>
      <c r="R146" s="14" t="s">
        <v>9</v>
      </c>
      <c r="S146" s="4" t="s">
        <v>433</v>
      </c>
      <c r="T146" s="28" t="s">
        <v>77</v>
      </c>
      <c r="U146" s="28" t="s">
        <v>79</v>
      </c>
      <c r="V146" s="28">
        <v>1</v>
      </c>
      <c r="W146" s="12">
        <v>1</v>
      </c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>
        <v>1</v>
      </c>
      <c r="AM146" s="4">
        <v>1200</v>
      </c>
      <c r="AN146" s="4"/>
      <c r="AO146" s="4"/>
      <c r="AP146" s="4"/>
      <c r="AQ146" s="4"/>
      <c r="AR146" s="4"/>
      <c r="AS146" s="4"/>
      <c r="AT146" s="12"/>
      <c r="AU146" s="12">
        <v>12</v>
      </c>
      <c r="AV146" s="12"/>
      <c r="AW146" s="12">
        <v>126</v>
      </c>
      <c r="AX146" s="12"/>
      <c r="AY146" s="12">
        <v>108</v>
      </c>
    </row>
    <row r="147" spans="1:51" hidden="1" x14ac:dyDescent="0.3">
      <c r="A147" s="4"/>
      <c r="B147" s="32">
        <v>2</v>
      </c>
      <c r="C147" s="33">
        <v>72</v>
      </c>
      <c r="D147" s="5" t="s">
        <v>441</v>
      </c>
      <c r="E147" s="33" t="s">
        <v>360</v>
      </c>
      <c r="F147" s="5" t="s">
        <v>361</v>
      </c>
      <c r="G147" s="33" t="s">
        <v>360</v>
      </c>
      <c r="H147" s="71">
        <v>475823.81602999999</v>
      </c>
      <c r="I147" s="71">
        <v>6813853.7911019996</v>
      </c>
      <c r="J147" s="4"/>
      <c r="K147" s="28" t="s">
        <v>68</v>
      </c>
      <c r="L147" s="38">
        <v>0</v>
      </c>
      <c r="M147" s="34">
        <v>0</v>
      </c>
      <c r="N147" s="34">
        <v>1</v>
      </c>
      <c r="O147" s="39">
        <v>1</v>
      </c>
      <c r="P147" s="5"/>
      <c r="Q147" s="5"/>
      <c r="R147" s="14" t="s">
        <v>9</v>
      </c>
      <c r="S147" s="4" t="s">
        <v>433</v>
      </c>
      <c r="T147" s="28" t="s">
        <v>77</v>
      </c>
      <c r="U147" s="28" t="s">
        <v>78</v>
      </c>
      <c r="V147" s="28">
        <v>1</v>
      </c>
      <c r="W147" s="12">
        <v>1</v>
      </c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>
        <v>1</v>
      </c>
      <c r="AI147" s="4">
        <v>768</v>
      </c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12"/>
      <c r="AU147" s="12">
        <v>12</v>
      </c>
      <c r="AV147" s="12"/>
      <c r="AW147" s="12">
        <v>126</v>
      </c>
      <c r="AX147" s="12"/>
      <c r="AY147" s="12">
        <v>108</v>
      </c>
    </row>
    <row r="148" spans="1:51" hidden="1" x14ac:dyDescent="0.3">
      <c r="A148" s="4"/>
      <c r="B148" s="32">
        <v>2</v>
      </c>
      <c r="C148" s="33">
        <v>72</v>
      </c>
      <c r="D148" s="5" t="s">
        <v>441</v>
      </c>
      <c r="E148" s="33" t="s">
        <v>362</v>
      </c>
      <c r="F148" s="5" t="s">
        <v>363</v>
      </c>
      <c r="G148" s="33" t="s">
        <v>362</v>
      </c>
      <c r="H148" s="71">
        <v>488938.00020000001</v>
      </c>
      <c r="I148" s="71">
        <v>6795655.0001980001</v>
      </c>
      <c r="J148" s="4"/>
      <c r="K148" s="28" t="s">
        <v>68</v>
      </c>
      <c r="L148" s="38">
        <v>0</v>
      </c>
      <c r="M148" s="34">
        <v>0</v>
      </c>
      <c r="N148" s="34">
        <v>1</v>
      </c>
      <c r="O148" s="39">
        <v>1</v>
      </c>
      <c r="P148" s="5"/>
      <c r="Q148" s="5"/>
      <c r="R148" s="14" t="s">
        <v>9</v>
      </c>
      <c r="S148" s="4" t="s">
        <v>433</v>
      </c>
      <c r="T148" s="28" t="s">
        <v>77</v>
      </c>
      <c r="U148" s="28" t="s">
        <v>79</v>
      </c>
      <c r="V148" s="28">
        <v>1</v>
      </c>
      <c r="W148" s="12">
        <v>1</v>
      </c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>
        <v>1</v>
      </c>
      <c r="AM148" s="4">
        <v>1200</v>
      </c>
      <c r="AN148" s="4"/>
      <c r="AO148" s="4"/>
      <c r="AP148" s="4"/>
      <c r="AQ148" s="4"/>
      <c r="AR148" s="4"/>
      <c r="AS148" s="4"/>
      <c r="AT148" s="12"/>
      <c r="AU148" s="12">
        <v>12</v>
      </c>
      <c r="AV148" s="12"/>
      <c r="AW148" s="12">
        <v>126</v>
      </c>
      <c r="AX148" s="12"/>
      <c r="AY148" s="12">
        <v>108</v>
      </c>
    </row>
    <row r="149" spans="1:51" hidden="1" x14ac:dyDescent="0.3">
      <c r="A149" s="4"/>
      <c r="B149" s="32">
        <v>2</v>
      </c>
      <c r="C149" s="33">
        <v>72</v>
      </c>
      <c r="D149" s="5" t="s">
        <v>441</v>
      </c>
      <c r="E149" s="33" t="s">
        <v>364</v>
      </c>
      <c r="F149" s="5" t="s">
        <v>365</v>
      </c>
      <c r="G149" s="33" t="s">
        <v>364</v>
      </c>
      <c r="H149" s="71">
        <v>491354.35612700001</v>
      </c>
      <c r="I149" s="71">
        <v>6779771.3725589998</v>
      </c>
      <c r="J149" s="4"/>
      <c r="K149" s="28" t="s">
        <v>68</v>
      </c>
      <c r="L149" s="38">
        <v>0</v>
      </c>
      <c r="M149" s="34">
        <v>0</v>
      </c>
      <c r="N149" s="34">
        <v>1</v>
      </c>
      <c r="O149" s="39">
        <v>1</v>
      </c>
      <c r="P149" s="5"/>
      <c r="Q149" s="5"/>
      <c r="R149" s="14" t="s">
        <v>9</v>
      </c>
      <c r="S149" s="4" t="s">
        <v>433</v>
      </c>
      <c r="T149" s="28" t="s">
        <v>77</v>
      </c>
      <c r="U149" s="28" t="s">
        <v>79</v>
      </c>
      <c r="V149" s="28">
        <v>1</v>
      </c>
      <c r="W149" s="12">
        <v>1</v>
      </c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>
        <v>1</v>
      </c>
      <c r="AM149" s="4">
        <v>1200</v>
      </c>
      <c r="AN149" s="4"/>
      <c r="AO149" s="4"/>
      <c r="AP149" s="4"/>
      <c r="AQ149" s="4"/>
      <c r="AR149" s="4"/>
      <c r="AS149" s="4"/>
      <c r="AT149" s="12"/>
      <c r="AU149" s="12">
        <v>12</v>
      </c>
      <c r="AV149" s="12"/>
      <c r="AW149" s="12">
        <v>126</v>
      </c>
      <c r="AX149" s="12"/>
      <c r="AY149" s="12">
        <v>108</v>
      </c>
    </row>
    <row r="150" spans="1:51" x14ac:dyDescent="0.3">
      <c r="A150" s="4"/>
      <c r="B150" s="32">
        <v>2</v>
      </c>
      <c r="C150" s="33">
        <v>72</v>
      </c>
      <c r="D150" s="5" t="s">
        <v>441</v>
      </c>
      <c r="E150" s="33" t="s">
        <v>366</v>
      </c>
      <c r="F150" s="5" t="s">
        <v>367</v>
      </c>
      <c r="G150" s="33" t="s">
        <v>366</v>
      </c>
      <c r="H150" s="71">
        <v>505390.00020000001</v>
      </c>
      <c r="I150" s="71">
        <v>6799111.9997979999</v>
      </c>
      <c r="J150" s="4"/>
      <c r="K150" s="28" t="s">
        <v>67</v>
      </c>
      <c r="L150" s="38">
        <v>0</v>
      </c>
      <c r="M150" s="34">
        <v>0</v>
      </c>
      <c r="N150" s="34">
        <v>1</v>
      </c>
      <c r="O150" s="39">
        <v>0</v>
      </c>
      <c r="P150" s="5"/>
      <c r="Q150" s="5"/>
      <c r="R150" s="14" t="s">
        <v>9</v>
      </c>
      <c r="S150" s="4" t="s">
        <v>433</v>
      </c>
      <c r="T150" s="28" t="s">
        <v>431</v>
      </c>
      <c r="U150" s="28" t="s">
        <v>78</v>
      </c>
      <c r="V150" s="28">
        <v>1</v>
      </c>
      <c r="W150" s="4"/>
      <c r="X150" s="12">
        <v>1</v>
      </c>
      <c r="Y150" s="4"/>
      <c r="Z150" s="4"/>
      <c r="AA150" s="4"/>
      <c r="AB150" s="4"/>
      <c r="AC150" s="4"/>
      <c r="AD150" s="4"/>
      <c r="AE150" s="4"/>
      <c r="AF150" s="4"/>
      <c r="AG150" s="4"/>
      <c r="AH150" s="4">
        <v>1</v>
      </c>
      <c r="AI150" s="4">
        <v>768</v>
      </c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12">
        <v>1</v>
      </c>
      <c r="AU150" s="12">
        <v>12</v>
      </c>
      <c r="AV150" s="12">
        <v>1</v>
      </c>
      <c r="AW150" s="12">
        <v>126</v>
      </c>
      <c r="AX150" s="12">
        <v>1</v>
      </c>
      <c r="AY150" s="12">
        <v>108</v>
      </c>
    </row>
    <row r="151" spans="1:51" x14ac:dyDescent="0.3">
      <c r="A151" s="4"/>
      <c r="B151" s="32">
        <v>2</v>
      </c>
      <c r="C151" s="33">
        <v>72</v>
      </c>
      <c r="D151" s="5" t="s">
        <v>441</v>
      </c>
      <c r="E151" s="33" t="s">
        <v>368</v>
      </c>
      <c r="F151" s="5" t="s">
        <v>369</v>
      </c>
      <c r="G151" s="33" t="s">
        <v>368</v>
      </c>
      <c r="H151" s="71">
        <v>488290.24672400003</v>
      </c>
      <c r="I151" s="71">
        <v>6777214.7021650001</v>
      </c>
      <c r="J151" s="4"/>
      <c r="K151" s="28" t="s">
        <v>67</v>
      </c>
      <c r="L151" s="38">
        <v>0</v>
      </c>
      <c r="M151" s="34">
        <v>0</v>
      </c>
      <c r="N151" s="34">
        <v>1</v>
      </c>
      <c r="O151" s="39">
        <v>1</v>
      </c>
      <c r="P151" s="5"/>
      <c r="Q151" s="5"/>
      <c r="R151" s="14" t="s">
        <v>9</v>
      </c>
      <c r="S151" s="4" t="s">
        <v>433</v>
      </c>
      <c r="T151" s="28" t="s">
        <v>431</v>
      </c>
      <c r="U151" s="28" t="s">
        <v>78</v>
      </c>
      <c r="V151" s="28">
        <v>2</v>
      </c>
      <c r="W151" s="4"/>
      <c r="X151" s="12">
        <v>1</v>
      </c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12">
        <v>1</v>
      </c>
      <c r="AK151" s="12">
        <v>1260</v>
      </c>
      <c r="AL151" s="4"/>
      <c r="AM151" s="4"/>
      <c r="AN151" s="4"/>
      <c r="AO151" s="4"/>
      <c r="AP151" s="4"/>
      <c r="AQ151" s="4"/>
      <c r="AR151" s="4"/>
      <c r="AS151" s="4"/>
      <c r="AT151" s="12">
        <v>1</v>
      </c>
      <c r="AU151" s="12">
        <v>12</v>
      </c>
      <c r="AV151" s="12">
        <v>1</v>
      </c>
      <c r="AW151" s="12">
        <v>126</v>
      </c>
      <c r="AX151" s="12">
        <v>1</v>
      </c>
      <c r="AY151" s="12">
        <v>108</v>
      </c>
    </row>
    <row r="152" spans="1:51" x14ac:dyDescent="0.3">
      <c r="A152" s="4"/>
      <c r="B152" s="32">
        <v>2</v>
      </c>
      <c r="C152" s="33">
        <v>72</v>
      </c>
      <c r="D152" s="5" t="s">
        <v>441</v>
      </c>
      <c r="E152" s="33" t="s">
        <v>370</v>
      </c>
      <c r="F152" s="5" t="s">
        <v>371</v>
      </c>
      <c r="G152" s="33" t="s">
        <v>370</v>
      </c>
      <c r="H152" s="71">
        <v>490018.00020000001</v>
      </c>
      <c r="I152" s="71">
        <v>6742547.9999980005</v>
      </c>
      <c r="J152" s="4"/>
      <c r="K152" s="28" t="s">
        <v>67</v>
      </c>
      <c r="L152" s="38">
        <v>0</v>
      </c>
      <c r="M152" s="34">
        <v>0</v>
      </c>
      <c r="N152" s="34">
        <v>1</v>
      </c>
      <c r="O152" s="39">
        <v>1</v>
      </c>
      <c r="P152" s="5"/>
      <c r="Q152" s="5"/>
      <c r="R152" s="14" t="s">
        <v>9</v>
      </c>
      <c r="S152" s="4" t="s">
        <v>433</v>
      </c>
      <c r="T152" s="28" t="s">
        <v>431</v>
      </c>
      <c r="U152" s="28" t="s">
        <v>78</v>
      </c>
      <c r="V152" s="28">
        <v>2</v>
      </c>
      <c r="W152" s="4"/>
      <c r="X152" s="12">
        <v>1</v>
      </c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12">
        <v>1</v>
      </c>
      <c r="AK152" s="12">
        <v>1260</v>
      </c>
      <c r="AL152" s="4"/>
      <c r="AM152" s="4"/>
      <c r="AN152" s="4"/>
      <c r="AO152" s="4"/>
      <c r="AP152" s="4"/>
      <c r="AQ152" s="4"/>
      <c r="AR152" s="4"/>
      <c r="AS152" s="4"/>
      <c r="AT152" s="12">
        <v>1</v>
      </c>
      <c r="AU152" s="12">
        <v>12</v>
      </c>
      <c r="AV152" s="12">
        <v>1</v>
      </c>
      <c r="AW152" s="12">
        <v>126</v>
      </c>
      <c r="AX152" s="12">
        <v>1</v>
      </c>
      <c r="AY152" s="12">
        <v>108</v>
      </c>
    </row>
    <row r="153" spans="1:51" x14ac:dyDescent="0.3">
      <c r="A153" s="4"/>
      <c r="B153" s="32">
        <v>2</v>
      </c>
      <c r="C153" s="33">
        <v>72</v>
      </c>
      <c r="D153" s="5" t="s">
        <v>441</v>
      </c>
      <c r="E153" s="33" t="s">
        <v>372</v>
      </c>
      <c r="F153" s="5" t="s">
        <v>373</v>
      </c>
      <c r="G153" s="33" t="s">
        <v>372</v>
      </c>
      <c r="H153" s="71">
        <v>504817.99979999999</v>
      </c>
      <c r="I153" s="71">
        <v>6732971.9999980005</v>
      </c>
      <c r="J153" s="4"/>
      <c r="K153" s="28" t="s">
        <v>67</v>
      </c>
      <c r="L153" s="38">
        <v>0</v>
      </c>
      <c r="M153" s="34">
        <v>0</v>
      </c>
      <c r="N153" s="34">
        <v>1</v>
      </c>
      <c r="O153" s="39">
        <v>1</v>
      </c>
      <c r="P153" s="5"/>
      <c r="Q153" s="5"/>
      <c r="R153" s="14" t="s">
        <v>9</v>
      </c>
      <c r="S153" s="4" t="s">
        <v>433</v>
      </c>
      <c r="T153" s="28" t="s">
        <v>77</v>
      </c>
      <c r="U153" s="28" t="s">
        <v>79</v>
      </c>
      <c r="V153" s="28">
        <v>1</v>
      </c>
      <c r="W153" s="4"/>
      <c r="X153" s="12">
        <v>1</v>
      </c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>
        <v>1</v>
      </c>
      <c r="AM153" s="4">
        <v>1200</v>
      </c>
      <c r="AN153" s="4"/>
      <c r="AO153" s="4"/>
      <c r="AP153" s="4"/>
      <c r="AQ153" s="4"/>
      <c r="AR153" s="4"/>
      <c r="AS153" s="4"/>
      <c r="AT153" s="12">
        <v>1</v>
      </c>
      <c r="AU153" s="12">
        <v>12</v>
      </c>
      <c r="AV153" s="12">
        <v>1</v>
      </c>
      <c r="AW153" s="12">
        <v>126</v>
      </c>
      <c r="AX153" s="12">
        <v>1</v>
      </c>
      <c r="AY153" s="12">
        <v>108</v>
      </c>
    </row>
    <row r="154" spans="1:51" x14ac:dyDescent="0.3">
      <c r="A154" s="4"/>
      <c r="B154" s="32">
        <v>2</v>
      </c>
      <c r="C154" s="33">
        <v>72</v>
      </c>
      <c r="D154" s="5" t="s">
        <v>441</v>
      </c>
      <c r="E154" s="33" t="s">
        <v>374</v>
      </c>
      <c r="F154" s="5" t="s">
        <v>375</v>
      </c>
      <c r="G154" s="33" t="s">
        <v>374</v>
      </c>
      <c r="H154" s="71">
        <v>488313</v>
      </c>
      <c r="I154" s="71">
        <v>6761143.9997979999</v>
      </c>
      <c r="J154" s="4"/>
      <c r="K154" s="28" t="s">
        <v>67</v>
      </c>
      <c r="L154" s="38">
        <v>0</v>
      </c>
      <c r="M154" s="34">
        <v>0</v>
      </c>
      <c r="N154" s="34">
        <v>1</v>
      </c>
      <c r="O154" s="39">
        <v>0</v>
      </c>
      <c r="P154" s="5"/>
      <c r="Q154" s="5"/>
      <c r="R154" s="14" t="s">
        <v>9</v>
      </c>
      <c r="S154" s="4" t="s">
        <v>433</v>
      </c>
      <c r="T154" s="28" t="s">
        <v>77</v>
      </c>
      <c r="U154" s="28" t="s">
        <v>79</v>
      </c>
      <c r="V154" s="28">
        <v>1</v>
      </c>
      <c r="W154" s="4"/>
      <c r="X154" s="12">
        <v>1</v>
      </c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>
        <v>1</v>
      </c>
      <c r="AM154" s="4">
        <v>1200</v>
      </c>
      <c r="AN154" s="4"/>
      <c r="AO154" s="4"/>
      <c r="AP154" s="4"/>
      <c r="AQ154" s="4"/>
      <c r="AR154" s="4"/>
      <c r="AS154" s="4"/>
      <c r="AT154" s="12">
        <v>1</v>
      </c>
      <c r="AU154" s="12">
        <v>12</v>
      </c>
      <c r="AV154" s="12">
        <v>1</v>
      </c>
      <c r="AW154" s="12">
        <v>126</v>
      </c>
      <c r="AX154" s="12">
        <v>1</v>
      </c>
      <c r="AY154" s="12">
        <v>108</v>
      </c>
    </row>
    <row r="155" spans="1:51" x14ac:dyDescent="0.3">
      <c r="A155" s="4"/>
      <c r="B155" s="32">
        <v>2</v>
      </c>
      <c r="C155" s="33">
        <v>85</v>
      </c>
      <c r="D155" s="5" t="s">
        <v>441</v>
      </c>
      <c r="E155" s="33" t="s">
        <v>376</v>
      </c>
      <c r="F155" s="5" t="s">
        <v>377</v>
      </c>
      <c r="G155" s="33" t="s">
        <v>376</v>
      </c>
      <c r="H155" s="71">
        <v>399880.00020000001</v>
      </c>
      <c r="I155" s="71">
        <v>6637149</v>
      </c>
      <c r="J155" s="4"/>
      <c r="K155" s="28" t="s">
        <v>67</v>
      </c>
      <c r="L155" s="38">
        <v>0</v>
      </c>
      <c r="M155" s="34">
        <v>0</v>
      </c>
      <c r="N155" s="34">
        <v>1</v>
      </c>
      <c r="O155" s="39">
        <v>1</v>
      </c>
      <c r="P155" s="12">
        <v>1</v>
      </c>
      <c r="Q155" s="5" t="s">
        <v>436</v>
      </c>
      <c r="R155" s="14" t="s">
        <v>9</v>
      </c>
      <c r="S155" s="4" t="s">
        <v>434</v>
      </c>
      <c r="T155" s="28" t="s">
        <v>431</v>
      </c>
      <c r="U155" s="28" t="s">
        <v>78</v>
      </c>
      <c r="V155" s="28">
        <v>2</v>
      </c>
      <c r="W155" s="4"/>
      <c r="X155" s="12">
        <v>1</v>
      </c>
      <c r="Y155" s="4"/>
      <c r="Z155" s="4"/>
      <c r="AA155" s="4"/>
      <c r="AB155" s="4">
        <v>1</v>
      </c>
      <c r="AC155" s="4"/>
      <c r="AD155" s="4">
        <v>1</v>
      </c>
      <c r="AE155" s="4"/>
      <c r="AF155" s="4"/>
      <c r="AG155" s="4"/>
      <c r="AH155" s="4"/>
      <c r="AI155" s="4"/>
      <c r="AJ155" s="12">
        <v>1</v>
      </c>
      <c r="AK155" s="12">
        <v>1260</v>
      </c>
      <c r="AL155" s="4"/>
      <c r="AM155" s="4"/>
      <c r="AN155" s="4"/>
      <c r="AO155" s="4"/>
      <c r="AP155" s="4"/>
      <c r="AQ155" s="4"/>
      <c r="AR155" s="4">
        <v>1</v>
      </c>
      <c r="AS155" s="4">
        <v>240</v>
      </c>
      <c r="AT155" s="12">
        <v>1</v>
      </c>
      <c r="AU155" s="12">
        <v>12</v>
      </c>
      <c r="AV155" s="12">
        <v>1</v>
      </c>
      <c r="AW155" s="12">
        <v>126</v>
      </c>
      <c r="AX155" s="12">
        <v>1</v>
      </c>
      <c r="AY155" s="12">
        <v>108</v>
      </c>
    </row>
    <row r="156" spans="1:51" hidden="1" x14ac:dyDescent="0.3">
      <c r="A156" s="4"/>
      <c r="B156" s="32">
        <v>2</v>
      </c>
      <c r="C156" s="33">
        <v>85</v>
      </c>
      <c r="D156" s="77" t="s">
        <v>448</v>
      </c>
      <c r="E156" s="33" t="s">
        <v>378</v>
      </c>
      <c r="F156" s="5" t="s">
        <v>379</v>
      </c>
      <c r="G156" s="33" t="s">
        <v>378</v>
      </c>
      <c r="H156" s="71">
        <v>405731.02591500001</v>
      </c>
      <c r="I156" s="71">
        <v>6654710.0900480002</v>
      </c>
      <c r="J156" s="4"/>
      <c r="K156" s="28" t="s">
        <v>428</v>
      </c>
      <c r="L156" s="38">
        <v>1</v>
      </c>
      <c r="M156" s="34">
        <v>0</v>
      </c>
      <c r="N156" s="34">
        <v>1</v>
      </c>
      <c r="O156" s="39">
        <v>0</v>
      </c>
      <c r="P156" s="5"/>
      <c r="Q156" s="5"/>
      <c r="R156" s="76" t="s">
        <v>450</v>
      </c>
      <c r="S156" s="14" t="s">
        <v>434</v>
      </c>
      <c r="T156" s="28" t="s">
        <v>77</v>
      </c>
      <c r="U156" s="28" t="s">
        <v>79</v>
      </c>
      <c r="V156" s="28">
        <v>1</v>
      </c>
      <c r="W156" s="12">
        <v>1</v>
      </c>
      <c r="X156" s="12">
        <v>1</v>
      </c>
      <c r="Y156" s="4"/>
      <c r="Z156" s="4">
        <v>1</v>
      </c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</row>
    <row r="157" spans="1:51" hidden="1" x14ac:dyDescent="0.3">
      <c r="A157" s="4"/>
      <c r="B157" s="32">
        <v>2</v>
      </c>
      <c r="C157" s="33">
        <v>85</v>
      </c>
      <c r="D157" s="14" t="s">
        <v>448</v>
      </c>
      <c r="E157" s="33" t="s">
        <v>380</v>
      </c>
      <c r="F157" s="5" t="s">
        <v>381</v>
      </c>
      <c r="G157" s="33" t="s">
        <v>380</v>
      </c>
      <c r="H157" s="71">
        <v>420202.83977100003</v>
      </c>
      <c r="I157" s="71">
        <v>6621244.3628099998</v>
      </c>
      <c r="J157" s="4"/>
      <c r="K157" s="28" t="s">
        <v>68</v>
      </c>
      <c r="L157" s="38">
        <v>0</v>
      </c>
      <c r="M157" s="34">
        <v>0</v>
      </c>
      <c r="N157" s="34">
        <v>1</v>
      </c>
      <c r="O157" s="39">
        <v>1</v>
      </c>
      <c r="P157" s="5"/>
      <c r="Q157" s="5"/>
      <c r="R157" s="82" t="s">
        <v>450</v>
      </c>
      <c r="S157" s="4" t="s">
        <v>434</v>
      </c>
      <c r="T157" s="28" t="s">
        <v>431</v>
      </c>
      <c r="U157" s="28" t="s">
        <v>78</v>
      </c>
      <c r="V157" s="28">
        <v>1</v>
      </c>
      <c r="W157" s="12">
        <v>1</v>
      </c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>
        <v>1</v>
      </c>
      <c r="AK157" s="4">
        <v>1260</v>
      </c>
      <c r="AL157" s="4"/>
      <c r="AM157" s="4"/>
      <c r="AN157" s="4"/>
      <c r="AO157" s="4"/>
      <c r="AP157" s="4"/>
      <c r="AQ157" s="4"/>
      <c r="AR157" s="4"/>
      <c r="AS157" s="4"/>
      <c r="AT157" s="12"/>
      <c r="AU157" s="12">
        <v>12</v>
      </c>
      <c r="AV157" s="12"/>
      <c r="AW157" s="12">
        <v>126</v>
      </c>
      <c r="AX157" s="12"/>
      <c r="AY157" s="12">
        <v>108</v>
      </c>
    </row>
    <row r="158" spans="1:51" hidden="1" x14ac:dyDescent="0.3">
      <c r="A158" s="4"/>
      <c r="B158" s="32">
        <v>2</v>
      </c>
      <c r="C158" s="33">
        <v>85</v>
      </c>
      <c r="D158" s="77" t="s">
        <v>448</v>
      </c>
      <c r="E158" s="33" t="s">
        <v>382</v>
      </c>
      <c r="F158" s="5" t="s">
        <v>383</v>
      </c>
      <c r="G158" s="33" t="s">
        <v>382</v>
      </c>
      <c r="H158" s="71">
        <v>344686.99979999999</v>
      </c>
      <c r="I158" s="71">
        <v>6618552</v>
      </c>
      <c r="J158" s="4"/>
      <c r="K158" s="28" t="s">
        <v>67</v>
      </c>
      <c r="L158" s="38">
        <v>0</v>
      </c>
      <c r="M158" s="34">
        <v>0</v>
      </c>
      <c r="N158" s="34">
        <v>1</v>
      </c>
      <c r="O158" s="39">
        <v>0</v>
      </c>
      <c r="P158" s="5"/>
      <c r="Q158" s="5"/>
      <c r="R158" s="76" t="s">
        <v>450</v>
      </c>
      <c r="S158" s="4" t="s">
        <v>434</v>
      </c>
      <c r="T158" s="28" t="s">
        <v>431</v>
      </c>
      <c r="U158" s="28" t="s">
        <v>78</v>
      </c>
      <c r="V158" s="28">
        <v>2</v>
      </c>
      <c r="W158" s="4"/>
      <c r="X158" s="12">
        <v>1</v>
      </c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12">
        <v>1</v>
      </c>
      <c r="AK158" s="12">
        <v>1260</v>
      </c>
      <c r="AL158" s="4"/>
      <c r="AM158" s="4"/>
      <c r="AN158" s="4"/>
      <c r="AO158" s="4"/>
      <c r="AP158" s="4"/>
      <c r="AQ158" s="4"/>
      <c r="AR158" s="4"/>
      <c r="AS158" s="4"/>
      <c r="AT158" s="12">
        <v>1</v>
      </c>
      <c r="AU158" s="12">
        <v>12</v>
      </c>
      <c r="AV158" s="12">
        <v>1</v>
      </c>
      <c r="AW158" s="12">
        <v>126</v>
      </c>
      <c r="AX158" s="12">
        <v>1</v>
      </c>
      <c r="AY158" s="12">
        <v>108</v>
      </c>
    </row>
    <row r="159" spans="1:51" x14ac:dyDescent="0.3">
      <c r="A159" s="4"/>
      <c r="B159" s="32">
        <v>2</v>
      </c>
      <c r="C159" s="33">
        <v>85</v>
      </c>
      <c r="D159" s="5" t="s">
        <v>441</v>
      </c>
      <c r="E159" s="33" t="s">
        <v>384</v>
      </c>
      <c r="F159" s="5" t="s">
        <v>385</v>
      </c>
      <c r="G159" s="33" t="s">
        <v>384</v>
      </c>
      <c r="H159" s="71">
        <v>353458.00020000001</v>
      </c>
      <c r="I159" s="71">
        <v>6640975.9998000003</v>
      </c>
      <c r="J159" s="4"/>
      <c r="K159" s="28" t="s">
        <v>67</v>
      </c>
      <c r="L159" s="38">
        <v>0</v>
      </c>
      <c r="M159" s="34">
        <v>0</v>
      </c>
      <c r="N159" s="34">
        <v>1</v>
      </c>
      <c r="O159" s="39">
        <v>1</v>
      </c>
      <c r="P159" s="5"/>
      <c r="Q159" s="5"/>
      <c r="R159" s="14" t="s">
        <v>9</v>
      </c>
      <c r="S159" s="4" t="s">
        <v>434</v>
      </c>
      <c r="T159" s="28" t="s">
        <v>431</v>
      </c>
      <c r="U159" s="28" t="s">
        <v>78</v>
      </c>
      <c r="V159" s="28">
        <v>2</v>
      </c>
      <c r="W159" s="4"/>
      <c r="X159" s="12">
        <v>1</v>
      </c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12">
        <v>1</v>
      </c>
      <c r="AK159" s="12">
        <v>1260</v>
      </c>
      <c r="AL159" s="4"/>
      <c r="AM159" s="4"/>
      <c r="AN159" s="4"/>
      <c r="AO159" s="4"/>
      <c r="AP159" s="4"/>
      <c r="AQ159" s="4"/>
      <c r="AR159" s="4"/>
      <c r="AS159" s="4"/>
      <c r="AT159" s="12">
        <v>1</v>
      </c>
      <c r="AU159" s="12">
        <v>12</v>
      </c>
      <c r="AV159" s="12">
        <v>1</v>
      </c>
      <c r="AW159" s="12">
        <v>126</v>
      </c>
      <c r="AX159" s="12">
        <v>1</v>
      </c>
      <c r="AY159" s="12">
        <v>108</v>
      </c>
    </row>
    <row r="160" spans="1:51" x14ac:dyDescent="0.3">
      <c r="A160" s="4"/>
      <c r="B160" s="32">
        <v>2</v>
      </c>
      <c r="C160" s="33">
        <v>85</v>
      </c>
      <c r="D160" s="5" t="s">
        <v>441</v>
      </c>
      <c r="E160" s="33" t="s">
        <v>386</v>
      </c>
      <c r="F160" s="5" t="s">
        <v>387</v>
      </c>
      <c r="G160" s="33" t="s">
        <v>386</v>
      </c>
      <c r="H160" s="71">
        <v>353526.523399</v>
      </c>
      <c r="I160" s="71">
        <v>6611152.6213060003</v>
      </c>
      <c r="J160" s="4"/>
      <c r="K160" s="28" t="s">
        <v>67</v>
      </c>
      <c r="L160" s="38">
        <v>0</v>
      </c>
      <c r="M160" s="34">
        <v>0</v>
      </c>
      <c r="N160" s="34">
        <v>1</v>
      </c>
      <c r="O160" s="39">
        <v>1</v>
      </c>
      <c r="P160" s="5"/>
      <c r="Q160" s="5"/>
      <c r="R160" s="14" t="s">
        <v>9</v>
      </c>
      <c r="S160" s="4" t="s">
        <v>434</v>
      </c>
      <c r="T160" s="28" t="s">
        <v>431</v>
      </c>
      <c r="U160" s="28" t="s">
        <v>78</v>
      </c>
      <c r="V160" s="28">
        <v>1</v>
      </c>
      <c r="W160" s="4"/>
      <c r="X160" s="12">
        <v>1</v>
      </c>
      <c r="Y160" s="4"/>
      <c r="Z160" s="4"/>
      <c r="AA160" s="4"/>
      <c r="AB160" s="4"/>
      <c r="AC160" s="4"/>
      <c r="AD160" s="4"/>
      <c r="AE160" s="4"/>
      <c r="AF160" s="4"/>
      <c r="AG160" s="4"/>
      <c r="AH160" s="4">
        <v>1</v>
      </c>
      <c r="AI160" s="4">
        <v>768</v>
      </c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12">
        <v>1</v>
      </c>
      <c r="AU160" s="12">
        <v>12</v>
      </c>
      <c r="AV160" s="12">
        <v>1</v>
      </c>
      <c r="AW160" s="12">
        <v>126</v>
      </c>
      <c r="AX160" s="12">
        <v>1</v>
      </c>
      <c r="AY160" s="12">
        <v>108</v>
      </c>
    </row>
    <row r="161" spans="1:51" hidden="1" x14ac:dyDescent="0.3">
      <c r="A161" s="4"/>
      <c r="B161" s="32">
        <v>2</v>
      </c>
      <c r="C161" s="33">
        <v>85</v>
      </c>
      <c r="D161" s="5" t="s">
        <v>441</v>
      </c>
      <c r="E161" s="33" t="s">
        <v>388</v>
      </c>
      <c r="F161" s="5" t="s">
        <v>389</v>
      </c>
      <c r="G161" s="33" t="s">
        <v>388</v>
      </c>
      <c r="H161" s="71">
        <v>329768.23448699998</v>
      </c>
      <c r="I161" s="71">
        <v>6643695.1267229998</v>
      </c>
      <c r="J161" s="4"/>
      <c r="K161" s="28" t="s">
        <v>68</v>
      </c>
      <c r="L161" s="38">
        <v>0</v>
      </c>
      <c r="M161" s="34">
        <v>0</v>
      </c>
      <c r="N161" s="34">
        <v>1</v>
      </c>
      <c r="O161" s="39">
        <v>1</v>
      </c>
      <c r="P161" s="5"/>
      <c r="Q161" s="5"/>
      <c r="R161" s="14" t="s">
        <v>9</v>
      </c>
      <c r="S161" s="4" t="s">
        <v>434</v>
      </c>
      <c r="T161" s="28" t="s">
        <v>431</v>
      </c>
      <c r="U161" s="28" t="s">
        <v>78</v>
      </c>
      <c r="V161" s="28">
        <v>1</v>
      </c>
      <c r="W161" s="12">
        <v>1</v>
      </c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>
        <v>1</v>
      </c>
      <c r="AI161" s="4">
        <v>768</v>
      </c>
      <c r="AJ161" s="4"/>
      <c r="AK161" s="4"/>
      <c r="AL161" s="4"/>
      <c r="AM161" s="55"/>
      <c r="AN161" s="4"/>
      <c r="AO161" s="4"/>
      <c r="AP161" s="4"/>
      <c r="AQ161" s="4"/>
      <c r="AR161" s="4"/>
      <c r="AS161" s="4"/>
      <c r="AT161" s="12"/>
      <c r="AU161" s="12">
        <v>12</v>
      </c>
      <c r="AV161" s="12"/>
      <c r="AW161" s="12">
        <v>126</v>
      </c>
      <c r="AX161" s="12"/>
      <c r="AY161" s="12">
        <v>108</v>
      </c>
    </row>
    <row r="162" spans="1:51" hidden="1" x14ac:dyDescent="0.3">
      <c r="A162" s="4"/>
      <c r="B162" s="32">
        <v>2</v>
      </c>
      <c r="C162" s="33">
        <v>85</v>
      </c>
      <c r="D162" s="14" t="s">
        <v>448</v>
      </c>
      <c r="E162" s="33" t="s">
        <v>390</v>
      </c>
      <c r="F162" s="5" t="s">
        <v>391</v>
      </c>
      <c r="G162" s="33" t="s">
        <v>390</v>
      </c>
      <c r="H162" s="71">
        <v>396469.44041500002</v>
      </c>
      <c r="I162" s="71">
        <v>6626491.6906909999</v>
      </c>
      <c r="J162" s="4"/>
      <c r="K162" s="28" t="s">
        <v>68</v>
      </c>
      <c r="L162" s="38">
        <v>0</v>
      </c>
      <c r="M162" s="34">
        <v>0</v>
      </c>
      <c r="N162" s="34">
        <v>1</v>
      </c>
      <c r="O162" s="39">
        <v>1</v>
      </c>
      <c r="P162" s="5"/>
      <c r="Q162" s="5"/>
      <c r="R162" s="82" t="s">
        <v>450</v>
      </c>
      <c r="S162" s="14" t="s">
        <v>434</v>
      </c>
      <c r="T162" s="28" t="s">
        <v>77</v>
      </c>
      <c r="U162" s="28" t="s">
        <v>78</v>
      </c>
      <c r="V162" s="28">
        <v>1</v>
      </c>
      <c r="W162" s="12">
        <v>1</v>
      </c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>
        <v>1</v>
      </c>
      <c r="AI162" s="4">
        <v>768</v>
      </c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12"/>
      <c r="AU162" s="12">
        <v>12</v>
      </c>
      <c r="AV162" s="12"/>
      <c r="AW162" s="12">
        <v>126</v>
      </c>
      <c r="AX162" s="12"/>
      <c r="AY162" s="12">
        <v>108</v>
      </c>
    </row>
    <row r="163" spans="1:51" hidden="1" x14ac:dyDescent="0.3">
      <c r="A163" s="4"/>
      <c r="B163" s="32">
        <v>2</v>
      </c>
      <c r="C163" s="33">
        <v>85</v>
      </c>
      <c r="D163" s="5" t="s">
        <v>441</v>
      </c>
      <c r="E163" s="33" t="s">
        <v>392</v>
      </c>
      <c r="F163" s="5" t="s">
        <v>393</v>
      </c>
      <c r="G163" s="33" t="s">
        <v>392</v>
      </c>
      <c r="H163" s="71">
        <v>326940</v>
      </c>
      <c r="I163" s="71">
        <v>6637570.9998000003</v>
      </c>
      <c r="J163" s="4"/>
      <c r="K163" s="28" t="s">
        <v>68</v>
      </c>
      <c r="L163" s="38">
        <v>0</v>
      </c>
      <c r="M163" s="34">
        <v>0</v>
      </c>
      <c r="N163" s="34">
        <v>1</v>
      </c>
      <c r="O163" s="39">
        <v>1</v>
      </c>
      <c r="P163" s="5"/>
      <c r="Q163" s="5"/>
      <c r="R163" s="14" t="s">
        <v>9</v>
      </c>
      <c r="S163" s="14" t="s">
        <v>434</v>
      </c>
      <c r="T163" s="28" t="s">
        <v>77</v>
      </c>
      <c r="U163" s="28" t="s">
        <v>79</v>
      </c>
      <c r="V163" s="28">
        <v>1</v>
      </c>
      <c r="W163" s="12">
        <v>1</v>
      </c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>
        <v>1</v>
      </c>
      <c r="AM163" s="4">
        <v>1200</v>
      </c>
      <c r="AN163" s="4"/>
      <c r="AO163" s="4"/>
      <c r="AP163" s="4"/>
      <c r="AQ163" s="4"/>
      <c r="AR163" s="4"/>
      <c r="AS163" s="4"/>
      <c r="AT163" s="12"/>
      <c r="AU163" s="12">
        <v>12</v>
      </c>
      <c r="AV163" s="12"/>
      <c r="AW163" s="12">
        <v>126</v>
      </c>
      <c r="AX163" s="12"/>
      <c r="AY163" s="12">
        <v>108</v>
      </c>
    </row>
    <row r="164" spans="1:51" hidden="1" x14ac:dyDescent="0.3">
      <c r="A164" s="4"/>
      <c r="B164" s="32">
        <v>2</v>
      </c>
      <c r="C164" s="33">
        <v>85</v>
      </c>
      <c r="D164" s="5" t="s">
        <v>441</v>
      </c>
      <c r="E164" s="33" t="s">
        <v>394</v>
      </c>
      <c r="F164" s="5" t="s">
        <v>395</v>
      </c>
      <c r="G164" s="33" t="s">
        <v>394</v>
      </c>
      <c r="H164" s="71">
        <v>342225.76001299999</v>
      </c>
      <c r="I164" s="71">
        <v>6630739.5101140002</v>
      </c>
      <c r="J164" s="4"/>
      <c r="K164" s="28" t="s">
        <v>68</v>
      </c>
      <c r="L164" s="38">
        <v>0</v>
      </c>
      <c r="M164" s="34">
        <v>0</v>
      </c>
      <c r="N164" s="34">
        <v>1</v>
      </c>
      <c r="O164" s="39">
        <v>0</v>
      </c>
      <c r="P164" s="5"/>
      <c r="Q164" s="5"/>
      <c r="R164" s="14" t="s">
        <v>9</v>
      </c>
      <c r="S164" s="14" t="s">
        <v>434</v>
      </c>
      <c r="T164" s="28" t="s">
        <v>77</v>
      </c>
      <c r="U164" s="28" t="s">
        <v>79</v>
      </c>
      <c r="V164" s="28">
        <v>1</v>
      </c>
      <c r="W164" s="12">
        <v>1</v>
      </c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>
        <v>1</v>
      </c>
      <c r="AM164" s="4">
        <v>1200</v>
      </c>
      <c r="AN164" s="4"/>
      <c r="AO164" s="4"/>
      <c r="AP164" s="4"/>
      <c r="AQ164" s="4"/>
      <c r="AR164" s="4"/>
      <c r="AS164" s="4"/>
      <c r="AT164" s="12"/>
      <c r="AU164" s="12">
        <v>12</v>
      </c>
      <c r="AV164" s="12"/>
      <c r="AW164" s="12">
        <v>126</v>
      </c>
      <c r="AX164" s="12"/>
      <c r="AY164" s="12">
        <v>108</v>
      </c>
    </row>
    <row r="165" spans="1:51" hidden="1" x14ac:dyDescent="0.3">
      <c r="A165" s="4"/>
      <c r="B165" s="32">
        <v>2</v>
      </c>
      <c r="C165" s="33">
        <v>85</v>
      </c>
      <c r="D165" s="5" t="s">
        <v>441</v>
      </c>
      <c r="E165" s="33" t="s">
        <v>396</v>
      </c>
      <c r="F165" s="5" t="s">
        <v>397</v>
      </c>
      <c r="G165" s="33" t="s">
        <v>396</v>
      </c>
      <c r="H165" s="71">
        <v>384982.99979999999</v>
      </c>
      <c r="I165" s="71">
        <v>6651964.9998000003</v>
      </c>
      <c r="J165" s="4"/>
      <c r="K165" s="28" t="s">
        <v>68</v>
      </c>
      <c r="L165" s="38">
        <v>0</v>
      </c>
      <c r="M165" s="34">
        <v>0</v>
      </c>
      <c r="N165" s="34">
        <v>1</v>
      </c>
      <c r="O165" s="39">
        <v>1</v>
      </c>
      <c r="P165" s="5"/>
      <c r="Q165" s="5"/>
      <c r="R165" s="14" t="s">
        <v>9</v>
      </c>
      <c r="S165" s="4" t="s">
        <v>434</v>
      </c>
      <c r="T165" s="28" t="s">
        <v>431</v>
      </c>
      <c r="U165" s="28" t="s">
        <v>78</v>
      </c>
      <c r="V165" s="28">
        <v>2</v>
      </c>
      <c r="W165" s="12">
        <v>1</v>
      </c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>
        <v>1</v>
      </c>
      <c r="AK165" s="4">
        <v>1260</v>
      </c>
      <c r="AL165" s="4"/>
      <c r="AM165" s="4"/>
      <c r="AN165" s="4"/>
      <c r="AO165" s="4"/>
      <c r="AP165" s="4"/>
      <c r="AQ165" s="4"/>
      <c r="AR165" s="4"/>
      <c r="AS165" s="4"/>
      <c r="AT165" s="12"/>
      <c r="AU165" s="12">
        <v>12</v>
      </c>
      <c r="AV165" s="12"/>
      <c r="AW165" s="12">
        <v>126</v>
      </c>
      <c r="AX165" s="12"/>
      <c r="AY165" s="12">
        <v>108</v>
      </c>
    </row>
    <row r="166" spans="1:51" hidden="1" x14ac:dyDescent="0.3">
      <c r="A166" s="4"/>
      <c r="B166" s="32">
        <v>2</v>
      </c>
      <c r="C166" s="33">
        <v>85</v>
      </c>
      <c r="D166" s="14" t="s">
        <v>448</v>
      </c>
      <c r="E166" s="33" t="s">
        <v>398</v>
      </c>
      <c r="F166" s="5" t="s">
        <v>399</v>
      </c>
      <c r="G166" s="33" t="s">
        <v>398</v>
      </c>
      <c r="H166" s="71">
        <v>415051.700962</v>
      </c>
      <c r="I166" s="71">
        <v>6638737.430683</v>
      </c>
      <c r="J166" s="4"/>
      <c r="K166" s="28" t="s">
        <v>67</v>
      </c>
      <c r="L166" s="38">
        <v>0</v>
      </c>
      <c r="M166" s="34">
        <v>0</v>
      </c>
      <c r="N166" s="34">
        <v>1</v>
      </c>
      <c r="O166" s="39">
        <v>1</v>
      </c>
      <c r="P166" s="5"/>
      <c r="Q166" s="5"/>
      <c r="R166" s="76" t="s">
        <v>450</v>
      </c>
      <c r="S166" s="4" t="s">
        <v>434</v>
      </c>
      <c r="T166" s="28" t="s">
        <v>431</v>
      </c>
      <c r="U166" s="28" t="s">
        <v>78</v>
      </c>
      <c r="V166" s="28">
        <v>1</v>
      </c>
      <c r="W166" s="4"/>
      <c r="X166" s="12">
        <v>1</v>
      </c>
      <c r="Y166" s="4"/>
      <c r="Z166" s="4">
        <v>1</v>
      </c>
      <c r="AA166" s="4"/>
      <c r="AB166" s="4"/>
      <c r="AC166" s="4"/>
      <c r="AD166" s="4"/>
      <c r="AE166" s="4"/>
      <c r="AF166" s="4"/>
      <c r="AG166" s="4"/>
      <c r="AH166" s="4">
        <v>1</v>
      </c>
      <c r="AI166" s="4">
        <v>768</v>
      </c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12">
        <v>1</v>
      </c>
      <c r="AU166" s="12">
        <v>12</v>
      </c>
      <c r="AV166" s="12">
        <v>1</v>
      </c>
      <c r="AW166" s="12">
        <v>126</v>
      </c>
      <c r="AX166" s="12">
        <v>1</v>
      </c>
      <c r="AY166" s="12">
        <v>108</v>
      </c>
    </row>
    <row r="167" spans="1:51" hidden="1" x14ac:dyDescent="0.3">
      <c r="A167" s="4"/>
      <c r="B167" s="32">
        <v>2</v>
      </c>
      <c r="C167" s="33">
        <v>85</v>
      </c>
      <c r="D167" s="77" t="s">
        <v>448</v>
      </c>
      <c r="E167" s="33" t="s">
        <v>400</v>
      </c>
      <c r="F167" s="5" t="s">
        <v>401</v>
      </c>
      <c r="G167" s="33" t="s">
        <v>400</v>
      </c>
      <c r="H167" s="71">
        <v>385764.134059</v>
      </c>
      <c r="I167" s="71">
        <v>6628145.0772460001</v>
      </c>
      <c r="J167" s="4"/>
      <c r="K167" s="28" t="s">
        <v>67</v>
      </c>
      <c r="L167" s="38">
        <v>0</v>
      </c>
      <c r="M167" s="34">
        <v>0</v>
      </c>
      <c r="N167" s="34">
        <v>1</v>
      </c>
      <c r="O167" s="39">
        <v>1</v>
      </c>
      <c r="P167" s="5"/>
      <c r="Q167" s="5"/>
      <c r="R167" s="76" t="s">
        <v>450</v>
      </c>
      <c r="S167" s="14" t="s">
        <v>434</v>
      </c>
      <c r="T167" s="28" t="s">
        <v>77</v>
      </c>
      <c r="U167" s="28" t="s">
        <v>78</v>
      </c>
      <c r="V167" s="28">
        <v>1</v>
      </c>
      <c r="W167" s="4"/>
      <c r="X167" s="12">
        <v>1</v>
      </c>
      <c r="Y167" s="4"/>
      <c r="Z167" s="4"/>
      <c r="AA167" s="4"/>
      <c r="AB167" s="4"/>
      <c r="AC167" s="4"/>
      <c r="AD167" s="4"/>
      <c r="AE167" s="4"/>
      <c r="AF167" s="4"/>
      <c r="AG167" s="4"/>
      <c r="AH167" s="4">
        <v>1</v>
      </c>
      <c r="AI167" s="4">
        <v>768</v>
      </c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12">
        <v>1</v>
      </c>
      <c r="AU167" s="12">
        <v>12</v>
      </c>
      <c r="AV167" s="12">
        <v>1</v>
      </c>
      <c r="AW167" s="12">
        <v>126</v>
      </c>
      <c r="AX167" s="12">
        <v>1</v>
      </c>
      <c r="AY167" s="12">
        <v>108</v>
      </c>
    </row>
    <row r="168" spans="1:51" hidden="1" x14ac:dyDescent="0.3">
      <c r="A168" s="4"/>
      <c r="B168" s="32">
        <v>2</v>
      </c>
      <c r="C168" s="33">
        <v>44</v>
      </c>
      <c r="D168" s="77" t="s">
        <v>448</v>
      </c>
      <c r="E168" s="33" t="s">
        <v>402</v>
      </c>
      <c r="F168" s="5" t="s">
        <v>403</v>
      </c>
      <c r="G168" s="33" t="s">
        <v>402</v>
      </c>
      <c r="H168" s="71">
        <v>354955.00020000001</v>
      </c>
      <c r="I168" s="71">
        <v>6665860.0001999997</v>
      </c>
      <c r="J168" s="4"/>
      <c r="K168" s="28" t="s">
        <v>67</v>
      </c>
      <c r="L168" s="38">
        <v>0</v>
      </c>
      <c r="M168" s="34">
        <v>0</v>
      </c>
      <c r="N168" s="34">
        <v>1</v>
      </c>
      <c r="O168" s="39">
        <v>0</v>
      </c>
      <c r="P168" s="5"/>
      <c r="Q168" s="5"/>
      <c r="R168" s="76" t="s">
        <v>450</v>
      </c>
      <c r="S168" s="14" t="s">
        <v>434</v>
      </c>
      <c r="T168" s="28" t="s">
        <v>77</v>
      </c>
      <c r="U168" s="28" t="s">
        <v>79</v>
      </c>
      <c r="V168" s="28">
        <v>1</v>
      </c>
      <c r="W168" s="4"/>
      <c r="X168" s="12">
        <v>1</v>
      </c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>
        <v>1</v>
      </c>
      <c r="AM168" s="4">
        <v>1200</v>
      </c>
      <c r="AN168" s="4"/>
      <c r="AO168" s="4"/>
      <c r="AP168" s="4"/>
      <c r="AQ168" s="4"/>
      <c r="AR168" s="4"/>
      <c r="AS168" s="4"/>
      <c r="AT168" s="12">
        <v>1</v>
      </c>
      <c r="AU168" s="12">
        <v>12</v>
      </c>
      <c r="AV168" s="12">
        <v>1</v>
      </c>
      <c r="AW168" s="12">
        <v>126</v>
      </c>
      <c r="AX168" s="12">
        <v>1</v>
      </c>
      <c r="AY168" s="12">
        <v>108</v>
      </c>
    </row>
    <row r="169" spans="1:51" x14ac:dyDescent="0.3">
      <c r="A169" s="4"/>
      <c r="B169" s="32">
        <v>2</v>
      </c>
      <c r="C169" s="33">
        <v>85</v>
      </c>
      <c r="D169" s="5" t="s">
        <v>441</v>
      </c>
      <c r="E169" s="33" t="s">
        <v>404</v>
      </c>
      <c r="F169" s="5" t="s">
        <v>405</v>
      </c>
      <c r="G169" s="33" t="s">
        <v>404</v>
      </c>
      <c r="H169" s="71">
        <v>371110.445626</v>
      </c>
      <c r="I169" s="71">
        <v>6608032.2785719996</v>
      </c>
      <c r="J169" s="4"/>
      <c r="K169" s="28" t="s">
        <v>67</v>
      </c>
      <c r="L169" s="38">
        <v>0</v>
      </c>
      <c r="M169" s="34">
        <v>0</v>
      </c>
      <c r="N169" s="34">
        <v>1</v>
      </c>
      <c r="O169" s="39">
        <v>1</v>
      </c>
      <c r="P169" s="5"/>
      <c r="Q169" s="5"/>
      <c r="R169" s="14" t="s">
        <v>9</v>
      </c>
      <c r="S169" s="14" t="s">
        <v>434</v>
      </c>
      <c r="T169" s="28" t="s">
        <v>77</v>
      </c>
      <c r="U169" s="28" t="s">
        <v>79</v>
      </c>
      <c r="V169" s="28">
        <v>1</v>
      </c>
      <c r="W169" s="4"/>
      <c r="X169" s="12">
        <v>1</v>
      </c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>
        <v>1</v>
      </c>
      <c r="AM169" s="4">
        <v>1200</v>
      </c>
      <c r="AN169" s="4"/>
      <c r="AO169" s="4"/>
      <c r="AP169" s="4"/>
      <c r="AQ169" s="4"/>
      <c r="AR169" s="4"/>
      <c r="AS169" s="4"/>
      <c r="AT169" s="12">
        <v>1</v>
      </c>
      <c r="AU169" s="12">
        <v>12</v>
      </c>
      <c r="AV169" s="12">
        <v>1</v>
      </c>
      <c r="AW169" s="12">
        <v>126</v>
      </c>
      <c r="AX169" s="12">
        <v>1</v>
      </c>
      <c r="AY169" s="12">
        <v>108</v>
      </c>
    </row>
    <row r="170" spans="1:51" x14ac:dyDescent="0.3">
      <c r="A170" s="4"/>
      <c r="B170" s="32">
        <v>2</v>
      </c>
      <c r="C170" s="33">
        <v>85</v>
      </c>
      <c r="D170" s="5" t="s">
        <v>441</v>
      </c>
      <c r="E170" s="33" t="s">
        <v>406</v>
      </c>
      <c r="F170" s="5" t="s">
        <v>407</v>
      </c>
      <c r="G170" s="33" t="s">
        <v>406</v>
      </c>
      <c r="H170" s="71">
        <v>383683.17892099998</v>
      </c>
      <c r="I170" s="71">
        <v>6611965.4109929996</v>
      </c>
      <c r="J170" s="4"/>
      <c r="K170" s="28" t="s">
        <v>67</v>
      </c>
      <c r="L170" s="38">
        <v>0</v>
      </c>
      <c r="M170" s="34">
        <v>0</v>
      </c>
      <c r="N170" s="34">
        <v>1</v>
      </c>
      <c r="O170" s="39">
        <v>1</v>
      </c>
      <c r="P170" s="5"/>
      <c r="Q170" s="5"/>
      <c r="R170" s="14" t="s">
        <v>9</v>
      </c>
      <c r="S170" s="14" t="s">
        <v>434</v>
      </c>
      <c r="T170" s="28" t="s">
        <v>77</v>
      </c>
      <c r="U170" s="28" t="s">
        <v>79</v>
      </c>
      <c r="V170" s="28">
        <v>1</v>
      </c>
      <c r="W170" s="4"/>
      <c r="X170" s="12">
        <v>1</v>
      </c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>
        <v>1</v>
      </c>
      <c r="AM170" s="4">
        <v>1200</v>
      </c>
      <c r="AN170" s="4"/>
      <c r="AO170" s="4"/>
      <c r="AP170" s="4"/>
      <c r="AQ170" s="4"/>
      <c r="AR170" s="4"/>
      <c r="AS170" s="4"/>
      <c r="AT170" s="12">
        <v>1</v>
      </c>
      <c r="AU170" s="12">
        <v>12</v>
      </c>
      <c r="AV170" s="12">
        <v>1</v>
      </c>
      <c r="AW170" s="12">
        <v>126</v>
      </c>
      <c r="AX170" s="12">
        <v>1</v>
      </c>
      <c r="AY170" s="12">
        <v>108</v>
      </c>
    </row>
    <row r="171" spans="1:51" hidden="1" x14ac:dyDescent="0.3">
      <c r="A171" s="4"/>
      <c r="B171" s="32">
        <v>2</v>
      </c>
      <c r="C171" s="5">
        <v>72</v>
      </c>
      <c r="D171" s="14" t="s">
        <v>448</v>
      </c>
      <c r="E171" s="5" t="s">
        <v>408</v>
      </c>
      <c r="F171" s="5" t="s">
        <v>409</v>
      </c>
      <c r="G171" s="5" t="s">
        <v>408</v>
      </c>
      <c r="H171" s="73">
        <v>530441.59273499995</v>
      </c>
      <c r="I171" s="73">
        <v>6772093.5263179997</v>
      </c>
      <c r="J171" s="4"/>
      <c r="K171" s="28" t="s">
        <v>428</v>
      </c>
      <c r="L171" s="38">
        <v>0</v>
      </c>
      <c r="M171" s="34">
        <v>1</v>
      </c>
      <c r="N171" s="34">
        <v>0</v>
      </c>
      <c r="O171" s="39">
        <v>1</v>
      </c>
      <c r="P171" s="5"/>
      <c r="Q171" s="5"/>
      <c r="R171" s="76" t="s">
        <v>450</v>
      </c>
      <c r="S171" s="4" t="s">
        <v>434</v>
      </c>
      <c r="T171" s="34" t="s">
        <v>431</v>
      </c>
      <c r="U171" s="28" t="s">
        <v>78</v>
      </c>
      <c r="V171" s="28">
        <v>1</v>
      </c>
      <c r="W171" s="12">
        <v>1</v>
      </c>
      <c r="X171" s="12">
        <v>1</v>
      </c>
      <c r="Y171" s="77"/>
      <c r="Z171" s="4">
        <v>1</v>
      </c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</row>
    <row r="172" spans="1:51" hidden="1" x14ac:dyDescent="0.3">
      <c r="A172" s="4"/>
      <c r="B172" s="32">
        <v>2</v>
      </c>
      <c r="C172" s="5">
        <v>72</v>
      </c>
      <c r="D172" s="77" t="s">
        <v>448</v>
      </c>
      <c r="E172" s="5" t="s">
        <v>410</v>
      </c>
      <c r="F172" s="5" t="s">
        <v>411</v>
      </c>
      <c r="G172" s="5" t="s">
        <v>410</v>
      </c>
      <c r="H172" s="73">
        <v>466694.42750799999</v>
      </c>
      <c r="I172" s="73">
        <v>6807933.5868880004</v>
      </c>
      <c r="J172" s="4"/>
      <c r="K172" s="28" t="s">
        <v>428</v>
      </c>
      <c r="L172" s="38">
        <v>0</v>
      </c>
      <c r="M172" s="34">
        <v>1</v>
      </c>
      <c r="N172" s="34">
        <v>0</v>
      </c>
      <c r="O172" s="39">
        <v>1</v>
      </c>
      <c r="P172" s="5"/>
      <c r="Q172" s="5"/>
      <c r="R172" s="76" t="s">
        <v>450</v>
      </c>
      <c r="S172" s="4" t="s">
        <v>433</v>
      </c>
      <c r="T172" s="34" t="s">
        <v>431</v>
      </c>
      <c r="U172" s="28" t="s">
        <v>78</v>
      </c>
      <c r="V172" s="28">
        <v>2</v>
      </c>
      <c r="W172" s="12">
        <v>1</v>
      </c>
      <c r="X172" s="12">
        <v>1</v>
      </c>
      <c r="Y172" s="4"/>
      <c r="Z172" s="4">
        <v>1</v>
      </c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</row>
    <row r="173" spans="1:51" hidden="1" x14ac:dyDescent="0.3">
      <c r="A173" s="4"/>
      <c r="B173" s="32">
        <v>2</v>
      </c>
      <c r="C173" s="5">
        <v>56</v>
      </c>
      <c r="D173" s="14" t="s">
        <v>444</v>
      </c>
      <c r="E173" s="5" t="s">
        <v>412</v>
      </c>
      <c r="F173" s="5" t="s">
        <v>413</v>
      </c>
      <c r="G173" s="5" t="s">
        <v>412</v>
      </c>
      <c r="H173" s="73">
        <v>224342.62416800001</v>
      </c>
      <c r="I173" s="73">
        <v>6793170.6682080003</v>
      </c>
      <c r="J173" s="4"/>
      <c r="K173" s="28" t="s">
        <v>428</v>
      </c>
      <c r="L173" s="38">
        <v>0</v>
      </c>
      <c r="M173" s="34">
        <v>1</v>
      </c>
      <c r="N173" s="34">
        <v>0</v>
      </c>
      <c r="O173" s="39">
        <v>0</v>
      </c>
      <c r="P173" s="5"/>
      <c r="Q173" s="5"/>
      <c r="R173" s="5" t="s">
        <v>8</v>
      </c>
      <c r="S173" s="4" t="s">
        <v>433</v>
      </c>
      <c r="T173" s="5" t="s">
        <v>431</v>
      </c>
      <c r="U173" s="28" t="s">
        <v>78</v>
      </c>
      <c r="V173" s="28">
        <v>2</v>
      </c>
      <c r="W173" s="12">
        <v>1</v>
      </c>
      <c r="X173" s="12">
        <v>1</v>
      </c>
      <c r="Y173" s="4"/>
      <c r="Z173" s="4">
        <v>1</v>
      </c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</row>
    <row r="174" spans="1:51" hidden="1" x14ac:dyDescent="0.3">
      <c r="A174" s="4"/>
      <c r="B174" s="32">
        <v>2</v>
      </c>
      <c r="C174" s="5">
        <v>56</v>
      </c>
      <c r="D174" s="14" t="s">
        <v>444</v>
      </c>
      <c r="E174" s="5" t="s">
        <v>414</v>
      </c>
      <c r="F174" s="5" t="s">
        <v>415</v>
      </c>
      <c r="G174" s="5" t="s">
        <v>414</v>
      </c>
      <c r="H174" s="73">
        <v>213622.101948</v>
      </c>
      <c r="I174" s="73">
        <v>6797258.4681120003</v>
      </c>
      <c r="J174" s="4"/>
      <c r="K174" s="28" t="s">
        <v>428</v>
      </c>
      <c r="L174" s="38">
        <v>0</v>
      </c>
      <c r="M174" s="34">
        <v>1</v>
      </c>
      <c r="N174" s="34">
        <v>0</v>
      </c>
      <c r="O174" s="39">
        <v>0</v>
      </c>
      <c r="P174" s="5"/>
      <c r="Q174" s="5"/>
      <c r="R174" s="5" t="s">
        <v>8</v>
      </c>
      <c r="S174" s="4" t="s">
        <v>433</v>
      </c>
      <c r="T174" s="5" t="s">
        <v>431</v>
      </c>
      <c r="U174" s="28" t="s">
        <v>78</v>
      </c>
      <c r="V174" s="28">
        <v>1</v>
      </c>
      <c r="W174" s="12">
        <v>1</v>
      </c>
      <c r="X174" s="12">
        <v>1</v>
      </c>
      <c r="Y174" s="4"/>
      <c r="Z174" s="4">
        <v>1</v>
      </c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</row>
    <row r="175" spans="1:51" hidden="1" x14ac:dyDescent="0.3">
      <c r="A175" s="4"/>
      <c r="B175" s="32">
        <v>2</v>
      </c>
      <c r="C175" s="5">
        <v>22</v>
      </c>
      <c r="D175" s="14" t="s">
        <v>444</v>
      </c>
      <c r="E175" s="5" t="s">
        <v>416</v>
      </c>
      <c r="F175" s="5" t="s">
        <v>417</v>
      </c>
      <c r="G175" s="5" t="s">
        <v>416</v>
      </c>
      <c r="H175" s="73">
        <v>282774.88386</v>
      </c>
      <c r="I175" s="73">
        <v>6803624.7034379998</v>
      </c>
      <c r="J175" s="4"/>
      <c r="K175" s="28" t="s">
        <v>428</v>
      </c>
      <c r="L175" s="38">
        <v>0</v>
      </c>
      <c r="M175" s="34">
        <v>1</v>
      </c>
      <c r="N175" s="34">
        <v>0</v>
      </c>
      <c r="O175" s="39">
        <v>0</v>
      </c>
      <c r="P175" s="5"/>
      <c r="Q175" s="5"/>
      <c r="R175" s="5" t="s">
        <v>8</v>
      </c>
      <c r="S175" s="4" t="s">
        <v>433</v>
      </c>
      <c r="T175" s="57" t="s">
        <v>77</v>
      </c>
      <c r="U175" s="28" t="s">
        <v>78</v>
      </c>
      <c r="V175" s="28">
        <v>1</v>
      </c>
      <c r="W175" s="12">
        <v>1</v>
      </c>
      <c r="X175" s="12">
        <v>1</v>
      </c>
      <c r="Y175" s="4"/>
      <c r="Z175" s="4">
        <v>1</v>
      </c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</row>
    <row r="176" spans="1:51" hidden="1" x14ac:dyDescent="0.3">
      <c r="A176" s="4"/>
      <c r="B176" s="32">
        <v>2</v>
      </c>
      <c r="C176" s="5">
        <v>56</v>
      </c>
      <c r="D176" s="14" t="s">
        <v>444</v>
      </c>
      <c r="E176" s="5" t="s">
        <v>418</v>
      </c>
      <c r="F176" s="5" t="s">
        <v>419</v>
      </c>
      <c r="G176" s="5" t="s">
        <v>418</v>
      </c>
      <c r="H176" s="73">
        <v>297443.01118500001</v>
      </c>
      <c r="I176" s="73">
        <v>6730598.6453059996</v>
      </c>
      <c r="J176" s="4"/>
      <c r="K176" s="28" t="s">
        <v>428</v>
      </c>
      <c r="L176" s="38">
        <v>0</v>
      </c>
      <c r="M176" s="34">
        <v>1</v>
      </c>
      <c r="N176" s="34">
        <v>0</v>
      </c>
      <c r="O176" s="39">
        <v>0</v>
      </c>
      <c r="P176" s="5"/>
      <c r="Q176" s="5"/>
      <c r="R176" s="5" t="s">
        <v>8</v>
      </c>
      <c r="S176" s="4" t="s">
        <v>433</v>
      </c>
      <c r="T176" s="5" t="s">
        <v>431</v>
      </c>
      <c r="U176" s="28" t="s">
        <v>78</v>
      </c>
      <c r="V176" s="28">
        <v>1</v>
      </c>
      <c r="W176" s="12">
        <v>1</v>
      </c>
      <c r="X176" s="12">
        <v>1</v>
      </c>
      <c r="Y176" s="4"/>
      <c r="Z176" s="4">
        <v>1</v>
      </c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</row>
    <row r="177" spans="1:54" hidden="1" x14ac:dyDescent="0.3">
      <c r="A177" s="4"/>
      <c r="B177" s="32">
        <v>2</v>
      </c>
      <c r="C177" s="5">
        <v>22</v>
      </c>
      <c r="D177" s="14" t="s">
        <v>444</v>
      </c>
      <c r="E177" s="5" t="s">
        <v>420</v>
      </c>
      <c r="F177" s="5" t="s">
        <v>421</v>
      </c>
      <c r="G177" s="5" t="s">
        <v>420</v>
      </c>
      <c r="H177" s="73">
        <v>223029.079142</v>
      </c>
      <c r="I177" s="73">
        <v>6842141.5628920002</v>
      </c>
      <c r="J177" s="4"/>
      <c r="K177" s="28" t="s">
        <v>428</v>
      </c>
      <c r="L177" s="38">
        <v>0</v>
      </c>
      <c r="M177" s="34">
        <v>1</v>
      </c>
      <c r="N177" s="34">
        <v>0</v>
      </c>
      <c r="O177" s="39">
        <v>0</v>
      </c>
      <c r="P177" s="5"/>
      <c r="Q177" s="5"/>
      <c r="R177" s="5" t="s">
        <v>8</v>
      </c>
      <c r="S177" s="4" t="s">
        <v>433</v>
      </c>
      <c r="T177" s="5" t="s">
        <v>431</v>
      </c>
      <c r="U177" s="28" t="s">
        <v>78</v>
      </c>
      <c r="V177" s="28">
        <v>1</v>
      </c>
      <c r="W177" s="12">
        <v>1</v>
      </c>
      <c r="X177" s="12">
        <v>1</v>
      </c>
      <c r="Y177" s="4"/>
      <c r="Z177" s="4">
        <v>1</v>
      </c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</row>
    <row r="178" spans="1:54" hidden="1" x14ac:dyDescent="0.3">
      <c r="A178" s="4"/>
      <c r="B178" s="32">
        <v>2</v>
      </c>
      <c r="C178" s="5">
        <v>29</v>
      </c>
      <c r="D178" s="14" t="s">
        <v>444</v>
      </c>
      <c r="E178" s="5" t="s">
        <v>422</v>
      </c>
      <c r="F178" s="5" t="s">
        <v>423</v>
      </c>
      <c r="G178" s="5" t="s">
        <v>422</v>
      </c>
      <c r="H178" s="73">
        <v>166523.30906599999</v>
      </c>
      <c r="I178" s="73">
        <v>6815418.6385340001</v>
      </c>
      <c r="J178" s="4"/>
      <c r="K178" s="28" t="s">
        <v>428</v>
      </c>
      <c r="L178" s="38">
        <v>0</v>
      </c>
      <c r="M178" s="34">
        <v>1</v>
      </c>
      <c r="N178" s="34">
        <v>0</v>
      </c>
      <c r="O178" s="39">
        <v>0</v>
      </c>
      <c r="P178" s="5"/>
      <c r="Q178" s="5"/>
      <c r="R178" s="5" t="s">
        <v>8</v>
      </c>
      <c r="S178" s="4" t="s">
        <v>433</v>
      </c>
      <c r="T178" s="5" t="s">
        <v>431</v>
      </c>
      <c r="U178" s="28" t="s">
        <v>78</v>
      </c>
      <c r="V178" s="28">
        <v>1</v>
      </c>
      <c r="W178" s="12">
        <v>1</v>
      </c>
      <c r="X178" s="12">
        <v>1</v>
      </c>
      <c r="Y178" s="4"/>
      <c r="Z178" s="4">
        <v>1</v>
      </c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</row>
    <row r="179" spans="1:54" hidden="1" x14ac:dyDescent="0.3">
      <c r="A179" s="4"/>
      <c r="B179" s="32">
        <v>2</v>
      </c>
      <c r="C179" s="5">
        <v>72</v>
      </c>
      <c r="D179" s="77" t="s">
        <v>448</v>
      </c>
      <c r="E179" s="5" t="s">
        <v>424</v>
      </c>
      <c r="F179" s="5" t="s">
        <v>425</v>
      </c>
      <c r="G179" s="5" t="s">
        <v>424</v>
      </c>
      <c r="H179" s="73">
        <v>496794.63440600003</v>
      </c>
      <c r="I179" s="73">
        <v>6814272.1026069997</v>
      </c>
      <c r="J179" s="4"/>
      <c r="K179" s="28" t="s">
        <v>428</v>
      </c>
      <c r="L179" s="38">
        <v>0</v>
      </c>
      <c r="M179" s="34">
        <v>1</v>
      </c>
      <c r="N179" s="34">
        <v>0</v>
      </c>
      <c r="O179" s="39">
        <v>0</v>
      </c>
      <c r="P179" s="5"/>
      <c r="Q179" s="5"/>
      <c r="R179" s="76" t="s">
        <v>450</v>
      </c>
      <c r="S179" s="4" t="s">
        <v>433</v>
      </c>
      <c r="T179" s="5" t="s">
        <v>431</v>
      </c>
      <c r="U179" s="28" t="s">
        <v>78</v>
      </c>
      <c r="V179" s="28">
        <v>1</v>
      </c>
      <c r="W179" s="12">
        <v>1</v>
      </c>
      <c r="X179" s="12">
        <v>1</v>
      </c>
      <c r="Y179" s="4"/>
      <c r="Z179" s="4">
        <v>1</v>
      </c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</row>
    <row r="180" spans="1:54" hidden="1" x14ac:dyDescent="0.3">
      <c r="A180" s="58"/>
      <c r="B180" s="59">
        <v>2</v>
      </c>
      <c r="C180" s="60">
        <v>72</v>
      </c>
      <c r="D180" s="14" t="s">
        <v>448</v>
      </c>
      <c r="E180" s="60" t="s">
        <v>426</v>
      </c>
      <c r="F180" s="60" t="s">
        <v>427</v>
      </c>
      <c r="G180" s="60" t="s">
        <v>426</v>
      </c>
      <c r="H180" s="74">
        <v>461814.23550499999</v>
      </c>
      <c r="I180" s="74">
        <v>6774250.4542370001</v>
      </c>
      <c r="J180" s="58"/>
      <c r="K180" s="61" t="s">
        <v>428</v>
      </c>
      <c r="L180" s="62">
        <v>0</v>
      </c>
      <c r="M180" s="63">
        <v>1</v>
      </c>
      <c r="N180" s="63">
        <v>0</v>
      </c>
      <c r="O180" s="64">
        <v>0</v>
      </c>
      <c r="P180" s="60"/>
      <c r="Q180" s="60"/>
      <c r="R180" s="76" t="s">
        <v>450</v>
      </c>
      <c r="S180" s="58" t="s">
        <v>433</v>
      </c>
      <c r="T180" s="60" t="s">
        <v>431</v>
      </c>
      <c r="U180" s="61" t="s">
        <v>78</v>
      </c>
      <c r="V180" s="61">
        <v>1</v>
      </c>
      <c r="W180" s="65">
        <v>1</v>
      </c>
      <c r="X180" s="65">
        <v>1</v>
      </c>
      <c r="Y180" s="58"/>
      <c r="Z180" s="58">
        <v>1</v>
      </c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8"/>
      <c r="AL180" s="58"/>
      <c r="AM180" s="58"/>
      <c r="AN180" s="58"/>
      <c r="AO180" s="58"/>
      <c r="AP180" s="58"/>
      <c r="AQ180" s="58"/>
      <c r="AR180" s="58"/>
      <c r="AS180" s="58"/>
      <c r="AT180" s="58"/>
      <c r="AU180" s="58"/>
      <c r="AV180" s="58"/>
      <c r="AW180" s="58"/>
      <c r="AX180" s="58"/>
      <c r="AY180" s="58"/>
    </row>
    <row r="181" spans="1:54" s="5" customFormat="1" hidden="1" x14ac:dyDescent="0.3">
      <c r="J181" s="68"/>
      <c r="S181" s="68"/>
      <c r="T181" s="68"/>
      <c r="U181" s="68"/>
      <c r="V181" s="68"/>
      <c r="AP181" s="5">
        <v>1</v>
      </c>
      <c r="AQ181" s="5">
        <v>600</v>
      </c>
      <c r="AZ181" s="68"/>
      <c r="BA181" s="69"/>
    </row>
    <row r="182" spans="1:54" ht="39.6" hidden="1" x14ac:dyDescent="0.3">
      <c r="A182" s="2"/>
      <c r="B182" s="2"/>
      <c r="C182" s="2"/>
      <c r="D182" s="4"/>
      <c r="E182" s="5"/>
      <c r="F182" s="4"/>
      <c r="G182" s="4"/>
      <c r="H182" s="4"/>
      <c r="I182" s="4"/>
      <c r="J182" s="15" t="s">
        <v>61</v>
      </c>
      <c r="K182" s="4"/>
      <c r="L182" s="51">
        <f>SUM(L8:L180)</f>
        <v>21</v>
      </c>
      <c r="M182" s="51">
        <f>SUM(M8:M180)</f>
        <v>24</v>
      </c>
      <c r="N182" s="51">
        <f>SUM(N8:N180)</f>
        <v>160</v>
      </c>
      <c r="O182" s="51">
        <f>SUM(O8:O180)</f>
        <v>104</v>
      </c>
      <c r="P182" s="51">
        <f>SUM(P8:P180)</f>
        <v>7</v>
      </c>
      <c r="Q182" s="3"/>
      <c r="R182" s="3"/>
      <c r="S182" s="50" t="s">
        <v>61</v>
      </c>
      <c r="T182" s="50"/>
      <c r="U182" s="50"/>
      <c r="V182" s="50"/>
      <c r="W182" s="52">
        <f t="shared" ref="W182:AD182" si="0">SUM(W8:W180)</f>
        <v>105</v>
      </c>
      <c r="X182" s="52">
        <f t="shared" si="0"/>
        <v>110</v>
      </c>
      <c r="Y182" s="53">
        <f t="shared" si="0"/>
        <v>1</v>
      </c>
      <c r="Z182" s="53">
        <f t="shared" si="0"/>
        <v>42</v>
      </c>
      <c r="AA182" s="52">
        <f t="shared" si="0"/>
        <v>7</v>
      </c>
      <c r="AB182" s="52">
        <f t="shared" si="0"/>
        <v>8</v>
      </c>
      <c r="AC182" s="53">
        <f t="shared" si="0"/>
        <v>5</v>
      </c>
      <c r="AD182" s="53">
        <f t="shared" si="0"/>
        <v>4</v>
      </c>
      <c r="AE182" s="4"/>
      <c r="AF182" s="4"/>
      <c r="AG182" s="4"/>
      <c r="AH182" s="4">
        <f t="shared" ref="AH182:AO182" si="1">SUM(AH8:AH180)</f>
        <v>49</v>
      </c>
      <c r="AI182" s="4">
        <f t="shared" si="1"/>
        <v>37632</v>
      </c>
      <c r="AJ182" s="4">
        <f t="shared" si="1"/>
        <v>44</v>
      </c>
      <c r="AK182" s="4">
        <f t="shared" si="1"/>
        <v>55440</v>
      </c>
      <c r="AL182" s="4">
        <f t="shared" si="1"/>
        <v>36</v>
      </c>
      <c r="AM182" s="4">
        <f t="shared" si="1"/>
        <v>43200</v>
      </c>
      <c r="AN182" s="4">
        <f t="shared" si="1"/>
        <v>5</v>
      </c>
      <c r="AO182" s="4">
        <f t="shared" si="1"/>
        <v>6000</v>
      </c>
      <c r="AP182" s="4">
        <f>SUM(AP8:AP181)</f>
        <v>1</v>
      </c>
      <c r="AQ182" s="4">
        <f>SUM(AQ8:AQ181)</f>
        <v>600</v>
      </c>
      <c r="AR182" s="4">
        <f t="shared" ref="AR182:AY182" si="2">SUM(AR8:AR180)</f>
        <v>7</v>
      </c>
      <c r="AS182" s="4">
        <f t="shared" si="2"/>
        <v>1680</v>
      </c>
      <c r="AT182" s="4">
        <f t="shared" si="2"/>
        <v>70</v>
      </c>
      <c r="AU182" s="4">
        <f t="shared" si="2"/>
        <v>1596</v>
      </c>
      <c r="AV182" s="4">
        <f t="shared" si="2"/>
        <v>70</v>
      </c>
      <c r="AW182" s="4">
        <f t="shared" si="2"/>
        <v>16758</v>
      </c>
      <c r="AX182" s="4">
        <f t="shared" si="2"/>
        <v>70</v>
      </c>
      <c r="AY182" s="4">
        <f t="shared" si="2"/>
        <v>14364</v>
      </c>
      <c r="AZ182" s="66" t="s">
        <v>60</v>
      </c>
      <c r="BA182" s="67">
        <f>SUM(BA8:BA38)</f>
        <v>0</v>
      </c>
      <c r="BB182" s="2"/>
    </row>
    <row r="183" spans="1:54" x14ac:dyDescent="0.3">
      <c r="U183" s="1"/>
      <c r="V183" s="1"/>
    </row>
    <row r="186" spans="1:54" x14ac:dyDescent="0.3">
      <c r="R186" s="14" t="s">
        <v>446</v>
      </c>
    </row>
  </sheetData>
  <autoFilter ref="A7:BB182" xr:uid="{00000000-0009-0000-0000-000000000000}">
    <filterColumn colId="3">
      <filters>
        <filter val="HydroC"/>
        <filter val="HydroC/exOFB"/>
        <filter val="HydroC-paire/OFB"/>
      </filters>
    </filterColumn>
    <filterColumn colId="10">
      <filters>
        <filter val="annuel"/>
        <filter val="paire"/>
        <filter val="paire/impaire2025"/>
      </filters>
    </filterColumn>
  </autoFilter>
  <mergeCells count="30">
    <mergeCell ref="AF4:BB4"/>
    <mergeCell ref="AJ5:AK5"/>
    <mergeCell ref="AP6:AQ6"/>
    <mergeCell ref="AR6:AS6"/>
    <mergeCell ref="AR5:AS5"/>
    <mergeCell ref="AP5:AQ5"/>
    <mergeCell ref="AN6:AO6"/>
    <mergeCell ref="AN5:AO5"/>
    <mergeCell ref="AT6:AU6"/>
    <mergeCell ref="AV6:AW6"/>
    <mergeCell ref="AX6:AY6"/>
    <mergeCell ref="AX5:AY5"/>
    <mergeCell ref="AV5:AW5"/>
    <mergeCell ref="AT5:AU5"/>
    <mergeCell ref="BA5:BA6"/>
    <mergeCell ref="BB5:BB6"/>
    <mergeCell ref="AA5:AD5"/>
    <mergeCell ref="S5:Z5"/>
    <mergeCell ref="Y6:Z6"/>
    <mergeCell ref="S6:X6"/>
    <mergeCell ref="AA6:AB6"/>
    <mergeCell ref="AC6:AD6"/>
    <mergeCell ref="AZ5:AZ6"/>
    <mergeCell ref="AF5:AG5"/>
    <mergeCell ref="AF6:AG6"/>
    <mergeCell ref="AH6:AI6"/>
    <mergeCell ref="AH5:AI5"/>
    <mergeCell ref="AL6:AM6"/>
    <mergeCell ref="AL5:AM5"/>
    <mergeCell ref="AJ6:AK6"/>
  </mergeCells>
  <conditionalFormatting sqref="M7:O7">
    <cfRule type="expression" dxfId="8" priority="3" stopIfTrue="1">
      <formula>ChampActif(HX5)</formula>
    </cfRule>
  </conditionalFormatting>
  <conditionalFormatting sqref="P5:Q5">
    <cfRule type="expression" dxfId="7" priority="4" stopIfTrue="1">
      <formula>ChampActif(IA5)</formula>
    </cfRule>
  </conditionalFormatting>
  <conditionalFormatting sqref="L7">
    <cfRule type="expression" dxfId="6" priority="7" stopIfTrue="1">
      <formula>ChampActif(HU5)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5"/>
  <sheetViews>
    <sheetView topLeftCell="B1" workbookViewId="0">
      <selection activeCell="C25" sqref="C25"/>
    </sheetView>
  </sheetViews>
  <sheetFormatPr baseColWidth="10" defaultRowHeight="14.4" x14ac:dyDescent="0.3"/>
  <sheetData>
    <row r="1" spans="1:19" ht="43.5" customHeight="1" x14ac:dyDescent="0.45">
      <c r="A1" s="123" t="s">
        <v>66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</row>
    <row r="2" spans="1:19" ht="21" x14ac:dyDescent="0.4">
      <c r="A2" s="124" t="s">
        <v>71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6" spans="1:19" ht="15" customHeight="1" x14ac:dyDescent="0.3">
      <c r="A6" s="110" t="s">
        <v>42</v>
      </c>
      <c r="B6" s="111" t="s">
        <v>59</v>
      </c>
      <c r="C6" s="111" t="s">
        <v>4</v>
      </c>
      <c r="D6" s="116" t="s">
        <v>70</v>
      </c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8"/>
      <c r="S6" s="1"/>
    </row>
    <row r="7" spans="1:19" x14ac:dyDescent="0.3">
      <c r="A7" s="110"/>
      <c r="B7" s="111"/>
      <c r="C7" s="111"/>
      <c r="D7" s="95" t="s">
        <v>46</v>
      </c>
      <c r="E7" s="96"/>
      <c r="F7" s="95" t="s">
        <v>49</v>
      </c>
      <c r="G7" s="96"/>
      <c r="H7" s="119" t="s">
        <v>47</v>
      </c>
      <c r="I7" s="120"/>
      <c r="J7" s="119" t="s">
        <v>50</v>
      </c>
      <c r="K7" s="120"/>
      <c r="L7" s="95" t="s">
        <v>48</v>
      </c>
      <c r="M7" s="96"/>
      <c r="N7" s="95" t="s">
        <v>51</v>
      </c>
      <c r="O7" s="96"/>
      <c r="P7" s="125" t="s">
        <v>58</v>
      </c>
      <c r="Q7" s="101" t="s">
        <v>28</v>
      </c>
      <c r="R7" s="102"/>
      <c r="S7" s="1"/>
    </row>
    <row r="8" spans="1:19" ht="36.75" customHeight="1" x14ac:dyDescent="0.3">
      <c r="A8" s="110"/>
      <c r="B8" s="111"/>
      <c r="C8" s="111"/>
      <c r="D8" s="121" t="s">
        <v>52</v>
      </c>
      <c r="E8" s="122"/>
      <c r="F8" s="121" t="s">
        <v>54</v>
      </c>
      <c r="G8" s="122"/>
      <c r="H8" s="121" t="s">
        <v>53</v>
      </c>
      <c r="I8" s="122"/>
      <c r="J8" s="121" t="s">
        <v>55</v>
      </c>
      <c r="K8" s="122"/>
      <c r="L8" s="121" t="s">
        <v>56</v>
      </c>
      <c r="M8" s="122"/>
      <c r="N8" s="121" t="s">
        <v>57</v>
      </c>
      <c r="O8" s="122"/>
      <c r="P8" s="126"/>
      <c r="Q8" s="112"/>
      <c r="R8" s="113"/>
      <c r="S8" s="1"/>
    </row>
    <row r="9" spans="1:19" x14ac:dyDescent="0.3">
      <c r="A9" s="110"/>
      <c r="B9" s="111"/>
      <c r="C9" s="111"/>
      <c r="D9" s="6" t="s">
        <v>43</v>
      </c>
      <c r="E9" s="6" t="s">
        <v>45</v>
      </c>
      <c r="F9" s="6" t="s">
        <v>43</v>
      </c>
      <c r="G9" s="6" t="s">
        <v>45</v>
      </c>
      <c r="H9" s="6" t="s">
        <v>43</v>
      </c>
      <c r="I9" s="6" t="s">
        <v>45</v>
      </c>
      <c r="J9" s="6" t="s">
        <v>43</v>
      </c>
      <c r="K9" s="6" t="s">
        <v>45</v>
      </c>
      <c r="L9" s="6" t="s">
        <v>43</v>
      </c>
      <c r="M9" s="6" t="s">
        <v>45</v>
      </c>
      <c r="N9" s="6" t="s">
        <v>43</v>
      </c>
      <c r="O9" s="6" t="s">
        <v>45</v>
      </c>
      <c r="P9" s="127"/>
      <c r="Q9" s="114"/>
      <c r="R9" s="115"/>
      <c r="S9" s="1"/>
    </row>
    <row r="10" spans="1:19" x14ac:dyDescent="0.3">
      <c r="A10" s="4">
        <v>2019</v>
      </c>
      <c r="B10" s="4" t="s">
        <v>439</v>
      </c>
      <c r="C10" s="4" t="s">
        <v>439</v>
      </c>
      <c r="D10" s="12">
        <v>0</v>
      </c>
      <c r="E10" s="12">
        <v>0</v>
      </c>
      <c r="F10" s="12"/>
      <c r="G10" s="12"/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1</v>
      </c>
      <c r="O10" s="12">
        <v>540</v>
      </c>
      <c r="P10" s="4">
        <f>SUM(O10+M10+K10+I10+G10+E10)</f>
        <v>540</v>
      </c>
      <c r="Q10" s="108"/>
      <c r="R10" s="109"/>
      <c r="S10" s="1"/>
    </row>
    <row r="11" spans="1:19" x14ac:dyDescent="0.3">
      <c r="A11" s="4">
        <v>2020</v>
      </c>
      <c r="B11" s="4" t="s">
        <v>439</v>
      </c>
      <c r="C11" s="4" t="s">
        <v>439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>
        <v>1</v>
      </c>
      <c r="O11" s="12">
        <v>540</v>
      </c>
      <c r="P11" s="4">
        <f>SUM(E11+G11+I11+K11+M11+O11)</f>
        <v>540</v>
      </c>
      <c r="Q11" s="107"/>
      <c r="R11" s="107"/>
      <c r="S11" s="1"/>
    </row>
    <row r="12" spans="1:19" x14ac:dyDescent="0.3"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"/>
      <c r="Q12" s="1"/>
      <c r="R12" s="1"/>
      <c r="S12" s="1"/>
    </row>
    <row r="13" spans="1:19" x14ac:dyDescent="0.3">
      <c r="D13" s="13" t="s">
        <v>26</v>
      </c>
      <c r="E13" s="13"/>
      <c r="F13" s="13" t="s">
        <v>26</v>
      </c>
      <c r="G13" s="13"/>
      <c r="H13" s="13" t="s">
        <v>26</v>
      </c>
      <c r="I13" s="13"/>
      <c r="J13" s="13" t="s">
        <v>26</v>
      </c>
      <c r="K13" s="13"/>
      <c r="L13" s="13" t="s">
        <v>26</v>
      </c>
      <c r="M13" s="13"/>
      <c r="N13" s="13" t="s">
        <v>26</v>
      </c>
      <c r="O13" s="13"/>
      <c r="P13" s="1"/>
      <c r="Q13" s="1"/>
      <c r="R13" s="1"/>
      <c r="S13" s="1"/>
    </row>
    <row r="14" spans="1:19" x14ac:dyDescent="0.3">
      <c r="F14" s="1"/>
      <c r="P14" s="1"/>
      <c r="Q14" s="1"/>
      <c r="R14" s="1"/>
      <c r="S14" s="1"/>
    </row>
    <row r="15" spans="1:19" x14ac:dyDescent="0.3">
      <c r="F15" s="1"/>
      <c r="P15" s="1"/>
      <c r="Q15" s="1"/>
      <c r="R15" s="1"/>
      <c r="S15" s="1"/>
    </row>
  </sheetData>
  <mergeCells count="22">
    <mergeCell ref="A1:R1"/>
    <mergeCell ref="A2:R2"/>
    <mergeCell ref="H8:I8"/>
    <mergeCell ref="H7:I7"/>
    <mergeCell ref="F8:G8"/>
    <mergeCell ref="F7:G7"/>
    <mergeCell ref="D8:E8"/>
    <mergeCell ref="D7:E7"/>
    <mergeCell ref="N7:O7"/>
    <mergeCell ref="N8:O8"/>
    <mergeCell ref="P7:P9"/>
    <mergeCell ref="Q11:R11"/>
    <mergeCell ref="Q10:R10"/>
    <mergeCell ref="A6:A9"/>
    <mergeCell ref="B6:B9"/>
    <mergeCell ref="C6:C9"/>
    <mergeCell ref="Q7:R9"/>
    <mergeCell ref="D6:R6"/>
    <mergeCell ref="J7:K7"/>
    <mergeCell ref="J8:K8"/>
    <mergeCell ref="L7:M7"/>
    <mergeCell ref="L8:M8"/>
  </mergeCells>
  <conditionalFormatting sqref="D8">
    <cfRule type="expression" dxfId="5" priority="1" stopIfTrue="1">
      <formula>ChampActif(HE9)</formula>
    </cfRule>
  </conditionalFormatting>
  <conditionalFormatting sqref="H8">
    <cfRule type="expression" dxfId="4" priority="2" stopIfTrue="1">
      <formula>ChampActif(HG9)</formula>
    </cfRule>
  </conditionalFormatting>
  <conditionalFormatting sqref="J8">
    <cfRule type="expression" dxfId="3" priority="3" stopIfTrue="1">
      <formula>ChampActif(HH9)</formula>
    </cfRule>
  </conditionalFormatting>
  <conditionalFormatting sqref="L8">
    <cfRule type="expression" dxfId="2" priority="4" stopIfTrue="1">
      <formula>ChampActif(HI9)</formula>
    </cfRule>
  </conditionalFormatting>
  <conditionalFormatting sqref="N8">
    <cfRule type="expression" dxfId="1" priority="5" stopIfTrue="1">
      <formula>ChampActif(HJ9)</formula>
    </cfRule>
  </conditionalFormatting>
  <conditionalFormatting sqref="F8">
    <cfRule type="expression" dxfId="0" priority="6" stopIfTrue="1">
      <formula>ChampActif(HF9)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Programme HC 2026</vt:lpstr>
      <vt:lpstr>prépa prog stations</vt:lpstr>
      <vt:lpstr>prepa prog marché gnrl</vt:lpstr>
    </vt:vector>
  </TitlesOfParts>
  <Company>Onema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QUINTINO-DOS-SANTOS Erell</dc:creator>
  <cp:lastModifiedBy>HENO Yves-Marie</cp:lastModifiedBy>
  <dcterms:created xsi:type="dcterms:W3CDTF">2018-09-03T11:49:45Z</dcterms:created>
  <dcterms:modified xsi:type="dcterms:W3CDTF">2025-10-15T06:26:07Z</dcterms:modified>
</cp:coreProperties>
</file>